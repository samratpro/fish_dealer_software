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NETWORK-COMPUTE\Ms Osman Fish\"/>
    </mc:Choice>
  </mc:AlternateContent>
  <xr:revisionPtr revIDLastSave="0" documentId="13_ncr:1_{4CA1FD11-54B2-49A4-9B16-8C4C65534DE2}" xr6:coauthVersionLast="47" xr6:coauthVersionMax="47" xr10:uidLastSave="{00000000-0000-0000-0000-000000000000}"/>
  <bookViews>
    <workbookView xWindow="1695" yWindow="0" windowWidth="15390" windowHeight="15480" tabRatio="761" firstSheet="24" activeTab="30" xr2:uid="{00000000-000D-0000-FFFF-FFFF00000000}"/>
  </bookViews>
  <sheets>
    <sheet name="OCT (01)" sheetId="22" r:id="rId1"/>
    <sheet name="OCT (2)" sheetId="24" r:id="rId2"/>
    <sheet name="OCT (3)" sheetId="25" r:id="rId3"/>
    <sheet name="OCT (4)" sheetId="26" r:id="rId4"/>
    <sheet name="OCT (5)" sheetId="27" r:id="rId5"/>
    <sheet name="OCT (6)" sheetId="28" r:id="rId6"/>
    <sheet name="OCT (7)" sheetId="29" r:id="rId7"/>
    <sheet name="OCT (8)" sheetId="30" r:id="rId8"/>
    <sheet name="OCT (9)" sheetId="31" r:id="rId9"/>
    <sheet name="OCT (10)" sheetId="32" r:id="rId10"/>
    <sheet name="OCT (11)" sheetId="33" r:id="rId11"/>
    <sheet name="OCT (12)" sheetId="34" r:id="rId12"/>
    <sheet name="OCT (13)" sheetId="35" r:id="rId13"/>
    <sheet name="OCT (14)" sheetId="36" r:id="rId14"/>
    <sheet name="OCT (15)" sheetId="37" r:id="rId15"/>
    <sheet name="OCT (16)" sheetId="38" r:id="rId16"/>
    <sheet name="OCT (17)" sheetId="39" r:id="rId17"/>
    <sheet name="OCT (18)" sheetId="40" r:id="rId18"/>
    <sheet name="OCT (19)" sheetId="41" r:id="rId19"/>
    <sheet name="OCT (20)" sheetId="42" r:id="rId20"/>
    <sheet name="OCT (21)" sheetId="43" r:id="rId21"/>
    <sheet name="OCT (22)" sheetId="44" r:id="rId22"/>
    <sheet name="OCT (23)" sheetId="45" r:id="rId23"/>
    <sheet name="OCT (24)" sheetId="46" r:id="rId24"/>
    <sheet name="OCT (25)" sheetId="47" r:id="rId25"/>
    <sheet name="OCT (26)" sheetId="48" r:id="rId26"/>
    <sheet name="OCT (27)" sheetId="49" r:id="rId27"/>
    <sheet name="OCT (28)" sheetId="50" r:id="rId28"/>
    <sheet name="OCT (29)" sheetId="51" r:id="rId29"/>
    <sheet name="OCT (30)" sheetId="52" r:id="rId30"/>
    <sheet name="OCT (31)" sheetId="53" r:id="rId3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50" l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45" i="49"/>
  <c r="G46" i="49" s="1"/>
  <c r="G47" i="49" s="1"/>
  <c r="N45" i="49"/>
  <c r="N46" i="49"/>
  <c r="N47" i="49"/>
  <c r="N7" i="46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G35" i="41"/>
  <c r="G36" i="41" s="1"/>
  <c r="G40" i="38"/>
  <c r="G41" i="38"/>
  <c r="G42" i="38"/>
  <c r="N42" i="38"/>
  <c r="N40" i="38"/>
  <c r="N41" i="38" s="1"/>
  <c r="G30" i="37"/>
  <c r="G31" i="37" s="1"/>
  <c r="G32" i="37" s="1"/>
  <c r="G33" i="37" s="1"/>
  <c r="G34" i="37" s="1"/>
  <c r="G35" i="37" s="1"/>
  <c r="G36" i="37" s="1"/>
  <c r="G37" i="37" s="1"/>
  <c r="G38" i="37" s="1"/>
  <c r="G39" i="37" s="1"/>
  <c r="N30" i="37"/>
  <c r="N31" i="37"/>
  <c r="N32" i="37" s="1"/>
  <c r="N33" i="37" s="1"/>
  <c r="N34" i="37" s="1"/>
  <c r="N35" i="37" s="1"/>
  <c r="N36" i="37" s="1"/>
  <c r="N37" i="37" s="1"/>
  <c r="N38" i="37" s="1"/>
  <c r="N39" i="37" s="1"/>
  <c r="N35" i="36"/>
  <c r="N36" i="36" s="1"/>
  <c r="N37" i="36" s="1"/>
  <c r="G35" i="36"/>
  <c r="G36" i="36" s="1"/>
  <c r="G37" i="36" s="1"/>
  <c r="N7" i="29"/>
  <c r="N8" i="29"/>
  <c r="N9" i="29"/>
  <c r="N10" i="29"/>
  <c r="N11" i="29"/>
  <c r="N12" i="29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5" i="53"/>
  <c r="N6" i="53" s="1"/>
  <c r="N7" i="53" s="1"/>
  <c r="N8" i="53" s="1"/>
  <c r="N9" i="53" s="1"/>
  <c r="N10" i="53" s="1"/>
  <c r="N11" i="53" s="1"/>
  <c r="N12" i="53" s="1"/>
  <c r="N13" i="53" s="1"/>
  <c r="N14" i="53" s="1"/>
  <c r="N15" i="53" s="1"/>
  <c r="N16" i="53" s="1"/>
  <c r="N17" i="53" s="1"/>
  <c r="N18" i="53" s="1"/>
  <c r="N19" i="53" s="1"/>
  <c r="N20" i="53" s="1"/>
  <c r="N21" i="53" s="1"/>
  <c r="N22" i="53" s="1"/>
  <c r="N23" i="53" s="1"/>
  <c r="N24" i="53" s="1"/>
  <c r="N25" i="53" s="1"/>
  <c r="N26" i="53" s="1"/>
  <c r="N27" i="53" s="1"/>
  <c r="N28" i="53" s="1"/>
  <c r="N29" i="53" s="1"/>
  <c r="N30" i="53" s="1"/>
  <c r="N31" i="53" s="1"/>
  <c r="N32" i="53" s="1"/>
  <c r="N33" i="53" s="1"/>
  <c r="N34" i="53" s="1"/>
  <c r="K35" i="53" s="1"/>
  <c r="D36" i="53" s="1"/>
  <c r="N5" i="52"/>
  <c r="N6" i="52" s="1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N18" i="52" s="1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5" i="51"/>
  <c r="N6" i="51" s="1"/>
  <c r="N7" i="51" s="1"/>
  <c r="N8" i="51" s="1"/>
  <c r="N9" i="51" s="1"/>
  <c r="N10" i="51" s="1"/>
  <c r="N11" i="51" s="1"/>
  <c r="N12" i="51" s="1"/>
  <c r="N13" i="51" s="1"/>
  <c r="N14" i="51" s="1"/>
  <c r="N15" i="51" s="1"/>
  <c r="N16" i="51" s="1"/>
  <c r="N17" i="51" s="1"/>
  <c r="N18" i="51" s="1"/>
  <c r="N19" i="51" s="1"/>
  <c r="N20" i="51" s="1"/>
  <c r="N21" i="51" s="1"/>
  <c r="N22" i="51" s="1"/>
  <c r="N23" i="51" s="1"/>
  <c r="N24" i="51" s="1"/>
  <c r="N25" i="51" s="1"/>
  <c r="N26" i="51" s="1"/>
  <c r="N27" i="51" s="1"/>
  <c r="N28" i="51" s="1"/>
  <c r="N29" i="51" s="1"/>
  <c r="N30" i="51" s="1"/>
  <c r="N31" i="51" s="1"/>
  <c r="N32" i="51" s="1"/>
  <c r="N33" i="51" s="1"/>
  <c r="N34" i="51" s="1"/>
  <c r="N35" i="51" s="1"/>
  <c r="N36" i="51" s="1"/>
  <c r="N37" i="51" s="1"/>
  <c r="N38" i="51" s="1"/>
  <c r="N39" i="51" s="1"/>
  <c r="N40" i="51" s="1"/>
  <c r="N41" i="51" s="1"/>
  <c r="N42" i="51" s="1"/>
  <c r="N43" i="51" s="1"/>
  <c r="N5" i="50"/>
  <c r="N6" i="50" s="1"/>
  <c r="N7" i="50" s="1"/>
  <c r="N8" i="50" s="1"/>
  <c r="N9" i="50" s="1"/>
  <c r="N10" i="50" s="1"/>
  <c r="N11" i="50" s="1"/>
  <c r="N12" i="50" s="1"/>
  <c r="N13" i="50" s="1"/>
  <c r="N14" i="50" s="1"/>
  <c r="N15" i="50" s="1"/>
  <c r="N16" i="50" s="1"/>
  <c r="N17" i="50" s="1"/>
  <c r="N18" i="50" s="1"/>
  <c r="N19" i="50" s="1"/>
  <c r="N20" i="50" s="1"/>
  <c r="N21" i="50" s="1"/>
  <c r="N22" i="50" s="1"/>
  <c r="N23" i="50" s="1"/>
  <c r="N24" i="50" s="1"/>
  <c r="N25" i="50" s="1"/>
  <c r="N26" i="50" s="1"/>
  <c r="N27" i="50" s="1"/>
  <c r="N28" i="50" s="1"/>
  <c r="N29" i="50" s="1"/>
  <c r="N30" i="50" s="1"/>
  <c r="N31" i="50" s="1"/>
  <c r="N32" i="50" s="1"/>
  <c r="N33" i="50" s="1"/>
  <c r="N34" i="50" s="1"/>
  <c r="N35" i="50" s="1"/>
  <c r="N5" i="49"/>
  <c r="N6" i="49" s="1"/>
  <c r="N7" i="49" s="1"/>
  <c r="N8" i="49" s="1"/>
  <c r="N9" i="49" s="1"/>
  <c r="N10" i="49" s="1"/>
  <c r="N11" i="49" s="1"/>
  <c r="N12" i="49" s="1"/>
  <c r="N13" i="49" s="1"/>
  <c r="N14" i="49" s="1"/>
  <c r="N15" i="49" s="1"/>
  <c r="N16" i="49" s="1"/>
  <c r="N17" i="49" s="1"/>
  <c r="N18" i="49" s="1"/>
  <c r="N19" i="49" s="1"/>
  <c r="N20" i="49" s="1"/>
  <c r="N21" i="49" s="1"/>
  <c r="N22" i="49" s="1"/>
  <c r="N23" i="49" s="1"/>
  <c r="N24" i="49" s="1"/>
  <c r="N25" i="49" s="1"/>
  <c r="N26" i="49" s="1"/>
  <c r="N27" i="49" s="1"/>
  <c r="N28" i="49" s="1"/>
  <c r="N29" i="49" s="1"/>
  <c r="N30" i="49" s="1"/>
  <c r="N31" i="49" s="1"/>
  <c r="N32" i="49" s="1"/>
  <c r="N33" i="49" s="1"/>
  <c r="N34" i="49" s="1"/>
  <c r="N35" i="49" s="1"/>
  <c r="N5" i="48"/>
  <c r="N6" i="48" s="1"/>
  <c r="N7" i="48" s="1"/>
  <c r="N8" i="48" s="1"/>
  <c r="N9" i="48" s="1"/>
  <c r="N10" i="48" s="1"/>
  <c r="N11" i="48" s="1"/>
  <c r="N12" i="48" s="1"/>
  <c r="N13" i="48" s="1"/>
  <c r="N14" i="48" s="1"/>
  <c r="N15" i="48" s="1"/>
  <c r="N16" i="48" s="1"/>
  <c r="N17" i="48" s="1"/>
  <c r="N18" i="48" s="1"/>
  <c r="N19" i="48" s="1"/>
  <c r="N20" i="48" s="1"/>
  <c r="N21" i="48" s="1"/>
  <c r="N22" i="48" s="1"/>
  <c r="N23" i="48" s="1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K35" i="48" s="1"/>
  <c r="D36" i="48" s="1"/>
  <c r="N5" i="47"/>
  <c r="N6" i="47" s="1"/>
  <c r="N7" i="47" s="1"/>
  <c r="N8" i="47" s="1"/>
  <c r="N9" i="47" s="1"/>
  <c r="N10" i="47" s="1"/>
  <c r="N11" i="47" s="1"/>
  <c r="N12" i="47" s="1"/>
  <c r="N13" i="47" s="1"/>
  <c r="N14" i="47" s="1"/>
  <c r="N15" i="47" s="1"/>
  <c r="N16" i="47" s="1"/>
  <c r="N17" i="47" s="1"/>
  <c r="N18" i="47" s="1"/>
  <c r="N19" i="47" s="1"/>
  <c r="N20" i="47" s="1"/>
  <c r="N21" i="47" s="1"/>
  <c r="N22" i="47" s="1"/>
  <c r="N23" i="47" s="1"/>
  <c r="N24" i="47" s="1"/>
  <c r="N25" i="47" s="1"/>
  <c r="N26" i="47" s="1"/>
  <c r="N27" i="47" s="1"/>
  <c r="N28" i="47" s="1"/>
  <c r="N29" i="47" s="1"/>
  <c r="N30" i="47" s="1"/>
  <c r="N31" i="47" s="1"/>
  <c r="N32" i="47" s="1"/>
  <c r="N33" i="47" s="1"/>
  <c r="N34" i="47" s="1"/>
  <c r="K35" i="47" s="1"/>
  <c r="D36" i="47" s="1"/>
  <c r="N5" i="46"/>
  <c r="N6" i="46" s="1"/>
  <c r="N5" i="45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K35" i="45" s="1"/>
  <c r="D36" i="45" s="1"/>
  <c r="N5" i="44"/>
  <c r="N6" i="44" s="1"/>
  <c r="N7" i="44" s="1"/>
  <c r="N8" i="44" s="1"/>
  <c r="N9" i="44" s="1"/>
  <c r="N10" i="44" s="1"/>
  <c r="N11" i="44" s="1"/>
  <c r="N12" i="44" s="1"/>
  <c r="N13" i="44" s="1"/>
  <c r="N14" i="44" s="1"/>
  <c r="N15" i="44" s="1"/>
  <c r="N16" i="44" s="1"/>
  <c r="N17" i="44" s="1"/>
  <c r="N18" i="44" s="1"/>
  <c r="N19" i="44" s="1"/>
  <c r="N20" i="44" s="1"/>
  <c r="N21" i="44" s="1"/>
  <c r="N22" i="44" s="1"/>
  <c r="N23" i="44" s="1"/>
  <c r="N24" i="44" s="1"/>
  <c r="N25" i="44" s="1"/>
  <c r="N26" i="44" s="1"/>
  <c r="N27" i="44" s="1"/>
  <c r="N28" i="44" s="1"/>
  <c r="N29" i="44" s="1"/>
  <c r="N30" i="44" s="1"/>
  <c r="N31" i="44" s="1"/>
  <c r="N32" i="44" s="1"/>
  <c r="N33" i="44" s="1"/>
  <c r="N34" i="44" s="1"/>
  <c r="N35" i="44" s="1"/>
  <c r="N5" i="43"/>
  <c r="N6" i="43" s="1"/>
  <c r="N7" i="43" s="1"/>
  <c r="N8" i="43" s="1"/>
  <c r="N9" i="43" s="1"/>
  <c r="N10" i="43" s="1"/>
  <c r="N11" i="43" s="1"/>
  <c r="N12" i="43" s="1"/>
  <c r="N13" i="43" s="1"/>
  <c r="N14" i="43" s="1"/>
  <c r="N15" i="43" s="1"/>
  <c r="N16" i="43" s="1"/>
  <c r="N17" i="43" s="1"/>
  <c r="N18" i="43" s="1"/>
  <c r="N19" i="43" s="1"/>
  <c r="N20" i="43" s="1"/>
  <c r="N21" i="43" s="1"/>
  <c r="N22" i="43" s="1"/>
  <c r="N23" i="43" s="1"/>
  <c r="N24" i="43" s="1"/>
  <c r="N25" i="43" s="1"/>
  <c r="N26" i="43" s="1"/>
  <c r="N27" i="43" s="1"/>
  <c r="N28" i="43" s="1"/>
  <c r="N29" i="43" s="1"/>
  <c r="N30" i="43" s="1"/>
  <c r="N31" i="43" s="1"/>
  <c r="N32" i="43" s="1"/>
  <c r="N33" i="43" s="1"/>
  <c r="N34" i="43" s="1"/>
  <c r="K35" i="43" s="1"/>
  <c r="D36" i="43" s="1"/>
  <c r="N5" i="42"/>
  <c r="N6" i="42" s="1"/>
  <c r="N7" i="42" s="1"/>
  <c r="N8" i="42" s="1"/>
  <c r="N9" i="42" s="1"/>
  <c r="N10" i="42" s="1"/>
  <c r="N11" i="42" s="1"/>
  <c r="N12" i="42" s="1"/>
  <c r="N13" i="42" s="1"/>
  <c r="N14" i="42" s="1"/>
  <c r="N15" i="42" s="1"/>
  <c r="N16" i="42" s="1"/>
  <c r="N17" i="42" s="1"/>
  <c r="N18" i="42" s="1"/>
  <c r="N19" i="42" s="1"/>
  <c r="N20" i="42" s="1"/>
  <c r="N21" i="42" s="1"/>
  <c r="N22" i="42" s="1"/>
  <c r="N23" i="42" s="1"/>
  <c r="N24" i="42" s="1"/>
  <c r="N25" i="42" s="1"/>
  <c r="N26" i="42" s="1"/>
  <c r="N27" i="42" s="1"/>
  <c r="N28" i="42" s="1"/>
  <c r="N29" i="42" s="1"/>
  <c r="N30" i="42" s="1"/>
  <c r="N31" i="42" s="1"/>
  <c r="N32" i="42" s="1"/>
  <c r="N33" i="42" s="1"/>
  <c r="N34" i="42" s="1"/>
  <c r="K35" i="42" s="1"/>
  <c r="D36" i="42" s="1"/>
  <c r="N5" i="41"/>
  <c r="N6" i="41" s="1"/>
  <c r="N7" i="41" s="1"/>
  <c r="N8" i="41" s="1"/>
  <c r="N9" i="41" s="1"/>
  <c r="N10" i="41" s="1"/>
  <c r="N11" i="41" s="1"/>
  <c r="N12" i="41" s="1"/>
  <c r="N13" i="41" s="1"/>
  <c r="N14" i="41" s="1"/>
  <c r="N15" i="41" s="1"/>
  <c r="N16" i="41" s="1"/>
  <c r="N17" i="41" s="1"/>
  <c r="N18" i="41" s="1"/>
  <c r="N19" i="41" s="1"/>
  <c r="N20" i="41" s="1"/>
  <c r="N21" i="41" s="1"/>
  <c r="N22" i="41" s="1"/>
  <c r="N23" i="41" s="1"/>
  <c r="N24" i="41" s="1"/>
  <c r="N25" i="41" s="1"/>
  <c r="N26" i="41" s="1"/>
  <c r="N27" i="41" s="1"/>
  <c r="N28" i="41" s="1"/>
  <c r="N29" i="41" s="1"/>
  <c r="N30" i="41" s="1"/>
  <c r="N31" i="41" s="1"/>
  <c r="N32" i="41" s="1"/>
  <c r="N33" i="41" s="1"/>
  <c r="N34" i="41" s="1"/>
  <c r="K37" i="41" s="1"/>
  <c r="D38" i="41" s="1"/>
  <c r="N5" i="40"/>
  <c r="N6" i="40" s="1"/>
  <c r="N7" i="40" s="1"/>
  <c r="N8" i="40" s="1"/>
  <c r="N9" i="40" s="1"/>
  <c r="N10" i="40" s="1"/>
  <c r="N11" i="40" s="1"/>
  <c r="N12" i="40" s="1"/>
  <c r="N13" i="40" s="1"/>
  <c r="N14" i="40" s="1"/>
  <c r="N15" i="40" s="1"/>
  <c r="N16" i="40" s="1"/>
  <c r="N17" i="40" s="1"/>
  <c r="N18" i="40" s="1"/>
  <c r="N19" i="40" s="1"/>
  <c r="N20" i="40" s="1"/>
  <c r="N21" i="40" s="1"/>
  <c r="N22" i="40" s="1"/>
  <c r="N23" i="40" s="1"/>
  <c r="N24" i="40" s="1"/>
  <c r="N25" i="40" s="1"/>
  <c r="N26" i="40" s="1"/>
  <c r="N27" i="40" s="1"/>
  <c r="N28" i="40" s="1"/>
  <c r="N29" i="40" s="1"/>
  <c r="N30" i="40" s="1"/>
  <c r="N31" i="40" s="1"/>
  <c r="N32" i="40" s="1"/>
  <c r="N33" i="40" s="1"/>
  <c r="N34" i="40" s="1"/>
  <c r="N35" i="40" s="1"/>
  <c r="N5" i="39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N16" i="39" s="1"/>
  <c r="N17" i="39" s="1"/>
  <c r="N18" i="39" s="1"/>
  <c r="N19" i="39" s="1"/>
  <c r="N20" i="39" s="1"/>
  <c r="N21" i="39" s="1"/>
  <c r="N22" i="39" s="1"/>
  <c r="N23" i="39" s="1"/>
  <c r="N24" i="39" s="1"/>
  <c r="N25" i="39" s="1"/>
  <c r="N26" i="39" s="1"/>
  <c r="N27" i="39" s="1"/>
  <c r="N28" i="39" s="1"/>
  <c r="N29" i="39" s="1"/>
  <c r="N30" i="39" s="1"/>
  <c r="N31" i="39" s="1"/>
  <c r="N32" i="39" s="1"/>
  <c r="N33" i="39" s="1"/>
  <c r="N34" i="39" s="1"/>
  <c r="N35" i="39" s="1"/>
  <c r="N36" i="39" s="1"/>
  <c r="N37" i="39" s="1"/>
  <c r="N38" i="39" s="1"/>
  <c r="N39" i="39" s="1"/>
  <c r="N40" i="39" s="1"/>
  <c r="N5" i="38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5" i="37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5" i="36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5" i="35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K35" i="35" s="1"/>
  <c r="D36" i="35" s="1"/>
  <c r="N5" i="34"/>
  <c r="N6" i="34" s="1"/>
  <c r="N7" i="34" s="1"/>
  <c r="N8" i="34" s="1"/>
  <c r="N9" i="34" s="1"/>
  <c r="N10" i="34" s="1"/>
  <c r="N11" i="34" s="1"/>
  <c r="N12" i="34" s="1"/>
  <c r="N13" i="34" s="1"/>
  <c r="N14" i="34" s="1"/>
  <c r="N15" i="34" s="1"/>
  <c r="N16" i="34" s="1"/>
  <c r="N17" i="34" s="1"/>
  <c r="N18" i="34" s="1"/>
  <c r="N19" i="34" s="1"/>
  <c r="N20" i="34" s="1"/>
  <c r="N21" i="34" s="1"/>
  <c r="N22" i="34" s="1"/>
  <c r="N23" i="34" s="1"/>
  <c r="N24" i="34" s="1"/>
  <c r="N25" i="34" s="1"/>
  <c r="N26" i="34" s="1"/>
  <c r="N27" i="34" s="1"/>
  <c r="N28" i="34" s="1"/>
  <c r="N29" i="34" s="1"/>
  <c r="N30" i="34" s="1"/>
  <c r="N31" i="34" s="1"/>
  <c r="N32" i="34" s="1"/>
  <c r="N33" i="34" s="1"/>
  <c r="N34" i="34" s="1"/>
  <c r="K35" i="34" s="1"/>
  <c r="D36" i="34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K35" i="33" s="1"/>
  <c r="D36" i="33" s="1"/>
  <c r="N5" i="32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K35" i="32" s="1"/>
  <c r="D36" i="32" s="1"/>
  <c r="N5" i="3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K35" i="31" s="1"/>
  <c r="D36" i="31" s="1"/>
  <c r="N5" i="30"/>
  <c r="N6" i="30" s="1"/>
  <c r="N7" i="30" s="1"/>
  <c r="N8" i="30" s="1"/>
  <c r="N9" i="30" s="1"/>
  <c r="N10" i="30" s="1"/>
  <c r="N11" i="30" s="1"/>
  <c r="N12" i="30" s="1"/>
  <c r="N13" i="30" s="1"/>
  <c r="N14" i="30" s="1"/>
  <c r="N15" i="30" s="1"/>
  <c r="N16" i="30" s="1"/>
  <c r="N17" i="30" s="1"/>
  <c r="N18" i="30" s="1"/>
  <c r="N19" i="30" s="1"/>
  <c r="N20" i="30" s="1"/>
  <c r="N21" i="30" s="1"/>
  <c r="N22" i="30" s="1"/>
  <c r="N23" i="30" s="1"/>
  <c r="N24" i="30" s="1"/>
  <c r="N25" i="30" s="1"/>
  <c r="N26" i="30" s="1"/>
  <c r="N27" i="30" s="1"/>
  <c r="N28" i="30" s="1"/>
  <c r="N29" i="30" s="1"/>
  <c r="N30" i="30" s="1"/>
  <c r="N31" i="30" s="1"/>
  <c r="N32" i="30" s="1"/>
  <c r="N33" i="30" s="1"/>
  <c r="N34" i="30" s="1"/>
  <c r="K35" i="30" s="1"/>
  <c r="D36" i="30" s="1"/>
  <c r="N5" i="29"/>
  <c r="N6" i="29" s="1"/>
  <c r="N5" i="28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K35" i="28" s="1"/>
  <c r="D36" i="28" s="1"/>
  <c r="N5" i="27"/>
  <c r="N6" i="27" s="1"/>
  <c r="N7" i="27" s="1"/>
  <c r="N8" i="27" s="1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N22" i="27" s="1"/>
  <c r="N23" i="27" s="1"/>
  <c r="N24" i="27" s="1"/>
  <c r="N25" i="27" s="1"/>
  <c r="N26" i="27" s="1"/>
  <c r="N27" i="27" s="1"/>
  <c r="N28" i="27" s="1"/>
  <c r="N29" i="27" s="1"/>
  <c r="N30" i="27" s="1"/>
  <c r="N31" i="27" s="1"/>
  <c r="N32" i="27" s="1"/>
  <c r="N33" i="27" s="1"/>
  <c r="N34" i="27" s="1"/>
  <c r="K35" i="27" s="1"/>
  <c r="D36" i="27" s="1"/>
  <c r="N5" i="26"/>
  <c r="N6" i="26" s="1"/>
  <c r="N7" i="26" s="1"/>
  <c r="N8" i="26" s="1"/>
  <c r="N9" i="26" s="1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K35" i="26" s="1"/>
  <c r="D36" i="26" s="1"/>
  <c r="N5" i="25"/>
  <c r="N6" i="25" s="1"/>
  <c r="N7" i="25" s="1"/>
  <c r="N8" i="25" s="1"/>
  <c r="N9" i="2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N20" i="25" s="1"/>
  <c r="N21" i="25" s="1"/>
  <c r="N22" i="25" s="1"/>
  <c r="N23" i="25" s="1"/>
  <c r="N24" i="25" s="1"/>
  <c r="N25" i="25" s="1"/>
  <c r="N26" i="25" s="1"/>
  <c r="N27" i="25" s="1"/>
  <c r="N28" i="25" s="1"/>
  <c r="N29" i="25" s="1"/>
  <c r="N30" i="25" s="1"/>
  <c r="N31" i="25" s="1"/>
  <c r="N32" i="25" s="1"/>
  <c r="N33" i="25" s="1"/>
  <c r="N34" i="25" s="1"/>
  <c r="K35" i="25" s="1"/>
  <c r="D36" i="25" s="1"/>
  <c r="N5" i="24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N21" i="24" s="1"/>
  <c r="N22" i="24" s="1"/>
  <c r="N23" i="24" s="1"/>
  <c r="N24" i="24" s="1"/>
  <c r="N25" i="24" s="1"/>
  <c r="N26" i="24" s="1"/>
  <c r="N27" i="24" s="1"/>
  <c r="N28" i="24" s="1"/>
  <c r="N29" i="24" s="1"/>
  <c r="N30" i="24" s="1"/>
  <c r="N31" i="24" s="1"/>
  <c r="N32" i="24" s="1"/>
  <c r="N33" i="24" s="1"/>
  <c r="N34" i="24" s="1"/>
  <c r="K35" i="24" s="1"/>
  <c r="D36" i="24" s="1"/>
  <c r="N36" i="52" l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K47" i="52" s="1"/>
  <c r="D48" i="52" s="1"/>
  <c r="N44" i="51"/>
  <c r="K45" i="51" s="1"/>
  <c r="D46" i="51" s="1"/>
  <c r="N36" i="50"/>
  <c r="N37" i="50" s="1"/>
  <c r="N38" i="50" s="1"/>
  <c r="N39" i="50" s="1"/>
  <c r="N40" i="50" s="1"/>
  <c r="N41" i="50" s="1"/>
  <c r="N42" i="50" s="1"/>
  <c r="N43" i="50" s="1"/>
  <c r="N44" i="50" s="1"/>
  <c r="N45" i="50" s="1"/>
  <c r="K46" i="50" s="1"/>
  <c r="D47" i="50" s="1"/>
  <c r="N36" i="49"/>
  <c r="N37" i="49" s="1"/>
  <c r="N38" i="49" s="1"/>
  <c r="N39" i="49" s="1"/>
  <c r="N40" i="49" s="1"/>
  <c r="N41" i="49" s="1"/>
  <c r="N42" i="49" s="1"/>
  <c r="N43" i="49" s="1"/>
  <c r="N44" i="49" s="1"/>
  <c r="K48" i="49" s="1"/>
  <c r="D49" i="49" s="1"/>
  <c r="K35" i="46"/>
  <c r="D36" i="46" s="1"/>
  <c r="N36" i="44"/>
  <c r="N37" i="44" s="1"/>
  <c r="N38" i="44" s="1"/>
  <c r="N39" i="44" s="1"/>
  <c r="N40" i="44" s="1"/>
  <c r="N41" i="44" s="1"/>
  <c r="K42" i="44" s="1"/>
  <c r="D43" i="44" s="1"/>
  <c r="N35" i="41"/>
  <c r="N36" i="41" s="1"/>
  <c r="N36" i="40"/>
  <c r="N37" i="40" s="1"/>
  <c r="N38" i="40" s="1"/>
  <c r="N39" i="40" s="1"/>
  <c r="N40" i="40" s="1"/>
  <c r="N41" i="40" s="1"/>
  <c r="N41" i="39"/>
  <c r="K42" i="39" s="1"/>
  <c r="D43" i="39" s="1"/>
  <c r="N21" i="38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K43" i="38" s="1"/>
  <c r="D44" i="38" s="1"/>
  <c r="K40" i="37"/>
  <c r="D41" i="37" s="1"/>
  <c r="N34" i="36"/>
  <c r="K38" i="36" s="1"/>
  <c r="D39" i="36" s="1"/>
  <c r="K35" i="29"/>
  <c r="D36" i="29" s="1"/>
  <c r="N5" i="22"/>
  <c r="N6" i="22" s="1"/>
  <c r="N7" i="22" s="1"/>
  <c r="N8" i="22" s="1"/>
  <c r="N9" i="22" s="1"/>
  <c r="N10" i="22" s="1"/>
  <c r="N11" i="22" s="1"/>
  <c r="N12" i="22" s="1"/>
  <c r="N13" i="22" s="1"/>
  <c r="N14" i="22" s="1"/>
  <c r="N15" i="22" s="1"/>
  <c r="G5" i="22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K45" i="40" l="1"/>
  <c r="D46" i="40" s="1"/>
  <c r="N42" i="40"/>
  <c r="N43" i="40" s="1"/>
  <c r="N44" i="40" s="1"/>
  <c r="N16" i="22"/>
  <c r="N17" i="22" s="1"/>
  <c r="N18" i="22" s="1"/>
  <c r="N19" i="22" s="1"/>
  <c r="N20" i="22" s="1"/>
  <c r="N21" i="22" s="1"/>
  <c r="N22" i="22" s="1"/>
  <c r="N23" i="22" s="1"/>
  <c r="N24" i="22" s="1"/>
  <c r="N25" i="22" s="1"/>
  <c r="N26" i="22" s="1"/>
  <c r="N27" i="22" s="1"/>
  <c r="N28" i="22" s="1"/>
  <c r="N29" i="22" s="1"/>
  <c r="N30" i="22" s="1"/>
  <c r="N31" i="22" s="1"/>
  <c r="N32" i="22" s="1"/>
  <c r="N33" i="22" s="1"/>
  <c r="N34" i="22" s="1"/>
  <c r="K35" i="22" s="1"/>
  <c r="D36" i="22" s="1"/>
  <c r="G16" i="22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D35" i="22" s="1"/>
  <c r="D37" i="22" l="1"/>
  <c r="F4" i="24" s="1"/>
  <c r="G5" i="24" s="1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G33" i="24" s="1"/>
  <c r="G34" i="24" s="1"/>
  <c r="D35" i="24" s="1"/>
  <c r="D37" i="24" s="1"/>
  <c r="F4" i="25" s="1"/>
  <c r="G5" i="25" l="1"/>
  <c r="G6" i="25" s="1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D35" i="25" s="1"/>
  <c r="D37" i="25" s="1"/>
  <c r="F4" i="26" l="1"/>
  <c r="G5" i="26" s="1"/>
  <c r="G6" i="26" s="1"/>
  <c r="G7" i="26" s="1"/>
  <c r="G8" i="26" s="1"/>
  <c r="G9" i="26" s="1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G34" i="26" s="1"/>
  <c r="D35" i="26" s="1"/>
  <c r="D37" i="26" s="1"/>
  <c r="F4" i="27" s="1"/>
  <c r="G5" i="27" s="1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D35" i="27" s="1"/>
  <c r="D37" i="27" s="1"/>
  <c r="F4" i="28" s="1"/>
  <c r="G5" i="28" s="1"/>
  <c r="G6" i="28" s="1"/>
  <c r="G7" i="28" s="1"/>
  <c r="G8" i="28" s="1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22" i="28" s="1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D35" i="28" s="1"/>
  <c r="D37" i="28" s="1"/>
  <c r="F4" i="29" s="1"/>
  <c r="G5" i="29" s="1"/>
  <c r="G6" i="29" s="1"/>
  <c r="G7" i="29" s="1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D35" i="29" s="1"/>
  <c r="D37" i="29" s="1"/>
  <c r="F4" i="30" s="1"/>
  <c r="G5" i="30" s="1"/>
  <c r="G6" i="30" s="1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D35" i="30" s="1"/>
  <c r="D37" i="30" s="1"/>
  <c r="F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D35" i="31" s="1"/>
  <c r="D37" i="31" s="1"/>
  <c r="F4" i="32" s="1"/>
  <c r="G5" i="32" s="1"/>
  <c r="G6" i="32" s="1"/>
  <c r="G7" i="32" s="1"/>
  <c r="G8" i="32" s="1"/>
  <c r="G9" i="32" s="1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D35" i="32" s="1"/>
  <c r="D37" i="32" s="1"/>
  <c r="F4" i="33" s="1"/>
  <c r="G5" i="33" s="1"/>
  <c r="G6" i="33" s="1"/>
  <c r="G7" i="33" s="1"/>
  <c r="G8" i="33" s="1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D35" i="33" s="1"/>
  <c r="D37" i="33" s="1"/>
  <c r="F4" i="34" s="1"/>
  <c r="G5" i="34" s="1"/>
  <c r="G6" i="34" s="1"/>
  <c r="G7" i="34" s="1"/>
  <c r="G8" i="34" s="1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D35" i="34" s="1"/>
  <c r="D37" i="34" s="1"/>
  <c r="F4" i="35" s="1"/>
  <c r="G5" i="35" s="1"/>
  <c r="G6" i="35" s="1"/>
  <c r="G7" i="35" s="1"/>
  <c r="G8" i="35" s="1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D35" i="35" s="1"/>
  <c r="D37" i="35" s="1"/>
  <c r="F4" i="36" s="1"/>
  <c r="G5" i="36" s="1"/>
  <c r="G6" i="36" s="1"/>
  <c r="G7" i="36" s="1"/>
  <c r="G8" i="36" s="1"/>
  <c r="G9" i="36" s="1"/>
  <c r="G10" i="36" s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l="1"/>
  <c r="D38" i="36" s="1"/>
  <c r="D40" i="36" s="1"/>
  <c r="F4" i="37" s="1"/>
  <c r="G5" i="37" s="1"/>
  <c r="G6" i="37" s="1"/>
  <c r="G7" i="37" s="1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D40" i="37" s="1"/>
  <c r="D42" i="37" s="1"/>
  <c r="F4" i="38" s="1"/>
  <c r="G5" i="38" s="1"/>
  <c r="G6" i="38" s="1"/>
  <c r="G7" i="38" s="1"/>
  <c r="G8" i="38" s="1"/>
  <c r="G9" i="38" s="1"/>
  <c r="G10" i="38" s="1"/>
  <c r="G11" i="38" s="1"/>
  <c r="G12" i="38" s="1"/>
  <c r="G13" i="38" s="1"/>
  <c r="G14" i="38" l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8" s="1"/>
  <c r="G36" i="38" s="1"/>
  <c r="G37" i="38" s="1"/>
  <c r="G38" i="38" s="1"/>
  <c r="G39" i="38" s="1"/>
  <c r="D43" i="38" s="1"/>
  <c r="D45" i="38" s="1"/>
  <c r="F4" i="39" s="1"/>
  <c r="G5" i="39" s="1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D42" i="39" l="1"/>
  <c r="D44" i="39" s="1"/>
  <c r="F4" i="40" s="1"/>
  <c r="G5" i="40" s="1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l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D45" i="40" s="1"/>
  <c r="D47" i="40" s="1"/>
  <c r="F4" i="41" s="1"/>
  <c r="G5" i="41" s="1"/>
  <c r="G6" i="41" s="1"/>
  <c r="G7" i="41" s="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4" i="41" s="1"/>
  <c r="D37" i="41" s="1"/>
  <c r="D39" i="41" s="1"/>
  <c r="F4" i="42" s="1"/>
  <c r="G5" i="42" s="1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D35" i="42" s="1"/>
  <c r="D37" i="42" s="1"/>
  <c r="F4" i="43" s="1"/>
  <c r="G5" i="43" s="1"/>
  <c r="G6" i="43" s="1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D35" i="43" s="1"/>
  <c r="D37" i="43" s="1"/>
  <c r="F4" i="44" s="1"/>
  <c r="G5" i="44" s="1"/>
  <c r="G6" i="44" s="1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l="1"/>
  <c r="G29" i="44" s="1"/>
  <c r="G30" i="44" s="1"/>
  <c r="G31" i="44" s="1"/>
  <c r="G32" i="44" s="1"/>
  <c r="G33" i="44" s="1"/>
  <c r="G34" i="44" s="1"/>
  <c r="G35" i="44" s="1"/>
  <c r="G36" i="44" s="1"/>
  <c r="G37" i="44" s="1"/>
  <c r="G38" i="44" s="1"/>
  <c r="G39" i="44" s="1"/>
  <c r="G40" i="44" s="1"/>
  <c r="G41" i="44" s="1"/>
  <c r="D42" i="44" s="1"/>
  <c r="D44" i="44" s="1"/>
  <c r="F4" i="45" s="1"/>
  <c r="G5" i="45" s="1"/>
  <c r="G6" i="45" s="1"/>
  <c r="G7" i="45" s="1"/>
  <c r="G8" i="45" s="1"/>
  <c r="G9" i="45" s="1"/>
  <c r="G10" i="45" s="1"/>
  <c r="G11" i="45" s="1"/>
  <c r="G12" i="45" s="1"/>
  <c r="G13" i="45" s="1"/>
  <c r="G14" i="45" s="1"/>
  <c r="G15" i="45" s="1"/>
  <c r="G16" i="45" s="1"/>
  <c r="G17" i="45" s="1"/>
  <c r="G18" i="45" s="1"/>
  <c r="G19" i="45" s="1"/>
  <c r="G20" i="45" s="1"/>
  <c r="G21" i="45" s="1"/>
  <c r="G22" i="45" s="1"/>
  <c r="G23" i="45" s="1"/>
  <c r="G24" i="45" s="1"/>
  <c r="G25" i="45" s="1"/>
  <c r="G26" i="45" s="1"/>
  <c r="G27" i="45" s="1"/>
  <c r="G28" i="45" s="1"/>
  <c r="G29" i="45" s="1"/>
  <c r="G30" i="45" s="1"/>
  <c r="G31" i="45" s="1"/>
  <c r="G32" i="45" s="1"/>
  <c r="G33" i="45" s="1"/>
  <c r="G34" i="45" s="1"/>
  <c r="D35" i="45" s="1"/>
  <c r="D37" i="45" s="1"/>
  <c r="F4" i="46" s="1"/>
  <c r="G5" i="46" s="1"/>
  <c r="G6" i="46" s="1"/>
  <c r="G7" i="46" s="1"/>
  <c r="G8" i="46" s="1"/>
  <c r="G9" i="46" s="1"/>
  <c r="G10" i="46" s="1"/>
  <c r="G11" i="46" s="1"/>
  <c r="G12" i="46" s="1"/>
  <c r="G13" i="46" s="1"/>
  <c r="G14" i="46" s="1"/>
  <c r="G15" i="46" s="1"/>
  <c r="G16" i="46" s="1"/>
  <c r="G17" i="46" s="1"/>
  <c r="G18" i="46" s="1"/>
  <c r="G19" i="46" s="1"/>
  <c r="G20" i="46" s="1"/>
  <c r="G21" i="46" s="1"/>
  <c r="G22" i="46" s="1"/>
  <c r="G23" i="46" s="1"/>
  <c r="G24" i="46" s="1"/>
  <c r="G25" i="46" s="1"/>
  <c r="G26" i="46" s="1"/>
  <c r="G27" i="46" s="1"/>
  <c r="G28" i="46" s="1"/>
  <c r="G29" i="46" s="1"/>
  <c r="G30" i="46" s="1"/>
  <c r="G31" i="46" s="1"/>
  <c r="G32" i="46" s="1"/>
  <c r="G33" i="46" s="1"/>
  <c r="G34" i="46" s="1"/>
  <c r="D35" i="46" s="1"/>
  <c r="D37" i="46" s="1"/>
  <c r="F4" i="47" s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D35" i="47" s="1"/>
  <c r="D37" i="47" s="1"/>
  <c r="F4" i="48" s="1"/>
  <c r="G5" i="48" s="1"/>
  <c r="G6" i="48" s="1"/>
  <c r="G7" i="48" s="1"/>
  <c r="G8" i="48" s="1"/>
  <c r="G9" i="48" s="1"/>
  <c r="G10" i="48" s="1"/>
  <c r="G11" i="48" s="1"/>
  <c r="G12" i="48" s="1"/>
  <c r="G13" i="48" s="1"/>
  <c r="G14" i="48" s="1"/>
  <c r="G15" i="48" s="1"/>
  <c r="G16" i="48" s="1"/>
  <c r="G17" i="48" s="1"/>
  <c r="G18" i="48" s="1"/>
  <c r="G19" i="48" s="1"/>
  <c r="G20" i="48" s="1"/>
  <c r="G21" i="48" s="1"/>
  <c r="G22" i="48" s="1"/>
  <c r="G23" i="48" s="1"/>
  <c r="G24" i="48" s="1"/>
  <c r="G25" i="48" s="1"/>
  <c r="G26" i="48" s="1"/>
  <c r="G27" i="48" s="1"/>
  <c r="G28" i="48" s="1"/>
  <c r="G29" i="48" s="1"/>
  <c r="G30" i="48" s="1"/>
  <c r="G31" i="48" s="1"/>
  <c r="G32" i="48" s="1"/>
  <c r="G33" i="48" s="1"/>
  <c r="G34" i="48" s="1"/>
  <c r="D35" i="48" s="1"/>
  <c r="D37" i="48" s="1"/>
  <c r="F4" i="49" s="1"/>
  <c r="G5" i="49" s="1"/>
  <c r="G6" i="49" s="1"/>
  <c r="G7" i="49" s="1"/>
  <c r="G8" i="49" s="1"/>
  <c r="G9" i="49" s="1"/>
  <c r="G10" i="49" s="1"/>
  <c r="G11" i="49" s="1"/>
  <c r="G12" i="49" s="1"/>
  <c r="G13" i="49" s="1"/>
  <c r="G14" i="49" s="1"/>
  <c r="G15" i="49" s="1"/>
  <c r="G16" i="49" s="1"/>
  <c r="G17" i="49" s="1"/>
  <c r="G18" i="49" s="1"/>
  <c r="G19" i="49" s="1"/>
  <c r="G20" i="49" s="1"/>
  <c r="G21" i="49" s="1"/>
  <c r="G22" i="49" s="1"/>
  <c r="G23" i="49" l="1"/>
  <c r="G24" i="49" s="1"/>
  <c r="G25" i="49" s="1"/>
  <c r="G26" i="49" s="1"/>
  <c r="G27" i="49" s="1"/>
  <c r="G28" i="49" s="1"/>
  <c r="G29" i="49" s="1"/>
  <c r="G30" i="49" s="1"/>
  <c r="G31" i="49" s="1"/>
  <c r="G32" i="49" s="1"/>
  <c r="G33" i="49" s="1"/>
  <c r="G34" i="49" s="1"/>
  <c r="G35" i="49" s="1"/>
  <c r="G36" i="49" s="1"/>
  <c r="G37" i="49" s="1"/>
  <c r="G38" i="49" s="1"/>
  <c r="G39" i="49" s="1"/>
  <c r="G40" i="49" s="1"/>
  <c r="G41" i="49" s="1"/>
  <c r="G42" i="49" s="1"/>
  <c r="G43" i="49" s="1"/>
  <c r="G44" i="49" s="1"/>
  <c r="D48" i="49" s="1"/>
  <c r="D50" i="49" s="1"/>
  <c r="F4" i="50" s="1"/>
  <c r="G5" i="50" s="1"/>
  <c r="G6" i="50" s="1"/>
  <c r="G7" i="50" s="1"/>
  <c r="G8" i="50" s="1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D46" i="50" s="1"/>
  <c r="D48" i="50" s="1"/>
  <c r="F4" i="51" s="1"/>
  <c r="G5" i="51" s="1"/>
  <c r="G6" i="51" s="1"/>
  <c r="G7" i="51" s="1"/>
  <c r="G8" i="51" s="1"/>
  <c r="G9" i="51" s="1"/>
  <c r="G10" i="51" s="1"/>
  <c r="G11" i="51" s="1"/>
  <c r="G12" i="51" s="1"/>
  <c r="G13" i="51" s="1"/>
  <c r="G14" i="51" s="1"/>
  <c r="G15" i="51" s="1"/>
  <c r="G16" i="51" s="1"/>
  <c r="G17" i="51" s="1"/>
  <c r="G18" i="51" s="1"/>
  <c r="G19" i="51" s="1"/>
  <c r="G20" i="51" s="1"/>
  <c r="G21" i="51" s="1"/>
  <c r="G22" i="51" s="1"/>
  <c r="G23" i="51" s="1"/>
  <c r="G24" i="51" s="1"/>
  <c r="G25" i="51" s="1"/>
  <c r="G26" i="51" s="1"/>
  <c r="G27" i="51" s="1"/>
  <c r="G28" i="51" s="1"/>
  <c r="G29" i="51" s="1"/>
  <c r="G30" i="51" s="1"/>
  <c r="G31" i="51" s="1"/>
  <c r="G32" i="51" l="1"/>
  <c r="G33" i="51" s="1"/>
  <c r="G34" i="51" s="1"/>
  <c r="G35" i="51" l="1"/>
  <c r="G36" i="51" s="1"/>
  <c r="G37" i="51" s="1"/>
  <c r="G38" i="51" s="1"/>
  <c r="G39" i="51" s="1"/>
  <c r="G40" i="51" s="1"/>
  <c r="G41" i="51" s="1"/>
  <c r="G42" i="51" s="1"/>
  <c r="G43" i="51" s="1"/>
  <c r="G44" i="51" s="1"/>
  <c r="D45" i="51" s="1"/>
  <c r="D47" i="51" s="1"/>
  <c r="F4" i="52" s="1"/>
  <c r="G5" i="52" s="1"/>
  <c r="G6" i="52" s="1"/>
  <c r="G7" i="52" s="1"/>
  <c r="G8" i="52" s="1"/>
  <c r="G9" i="52" s="1"/>
  <c r="G10" i="52" s="1"/>
  <c r="G11" i="52" s="1"/>
  <c r="G12" i="52" s="1"/>
  <c r="G13" i="52" s="1"/>
  <c r="G14" i="52" s="1"/>
  <c r="G15" i="52" s="1"/>
  <c r="G16" i="52" s="1"/>
  <c r="G17" i="52" s="1"/>
  <c r="G18" i="52" s="1"/>
  <c r="G19" i="52" s="1"/>
  <c r="G20" i="52" s="1"/>
  <c r="G21" i="52" s="1"/>
  <c r="G22" i="52" s="1"/>
  <c r="G23" i="52" l="1"/>
  <c r="G24" i="52" s="1"/>
  <c r="G25" i="52" s="1"/>
  <c r="G26" i="52" s="1"/>
  <c r="G27" i="52" s="1"/>
  <c r="G28" i="52" s="1"/>
  <c r="G29" i="52" s="1"/>
  <c r="G30" i="52" s="1"/>
  <c r="G31" i="52" s="1"/>
  <c r="G32" i="52" s="1"/>
  <c r="G33" i="52" s="1"/>
  <c r="G34" i="52" s="1"/>
  <c r="G35" i="52" s="1"/>
  <c r="G36" i="52" s="1"/>
  <c r="G37" i="52" s="1"/>
  <c r="G38" i="52" s="1"/>
  <c r="G39" i="52" s="1"/>
  <c r="G40" i="52" s="1"/>
  <c r="G41" i="52" s="1"/>
  <c r="G42" i="52" s="1"/>
  <c r="G43" i="52" s="1"/>
  <c r="G44" i="52" s="1"/>
  <c r="G45" i="52" s="1"/>
  <c r="G46" i="52" s="1"/>
  <c r="D47" i="52" s="1"/>
  <c r="D49" i="52" s="1"/>
  <c r="F4" i="53" s="1"/>
  <c r="G5" i="53" s="1"/>
  <c r="G6" i="53" s="1"/>
  <c r="G7" i="53" s="1"/>
  <c r="G8" i="53" s="1"/>
  <c r="G9" i="53" s="1"/>
  <c r="G10" i="53" s="1"/>
  <c r="G11" i="53" s="1"/>
  <c r="G12" i="53" s="1"/>
  <c r="G13" i="53" s="1"/>
  <c r="G14" i="53" s="1"/>
  <c r="G15" i="53" s="1"/>
  <c r="G16" i="53" s="1"/>
  <c r="G17" i="53" s="1"/>
  <c r="G18" i="53" s="1"/>
  <c r="G19" i="53" s="1"/>
  <c r="G20" i="53" s="1"/>
  <c r="G21" i="53" s="1"/>
  <c r="G22" i="53" s="1"/>
  <c r="G23" i="53" s="1"/>
  <c r="G24" i="53" s="1"/>
  <c r="G25" i="53" s="1"/>
  <c r="G26" i="53" s="1"/>
  <c r="G27" i="53" s="1"/>
  <c r="G28" i="53" s="1"/>
  <c r="G29" i="53" s="1"/>
  <c r="G30" i="53" s="1"/>
  <c r="G31" i="53" s="1"/>
  <c r="G32" i="53" s="1"/>
  <c r="G33" i="53" s="1"/>
  <c r="G34" i="53" s="1"/>
  <c r="D35" i="53" s="1"/>
  <c r="D37" i="53" s="1"/>
</calcChain>
</file>

<file path=xl/sharedStrings.xml><?xml version="1.0" encoding="utf-8"?>
<sst xmlns="http://schemas.openxmlformats.org/spreadsheetml/2006/main" count="4278" uniqueCount="581">
  <si>
    <t>D</t>
  </si>
  <si>
    <t>C</t>
  </si>
  <si>
    <t>****</t>
  </si>
  <si>
    <t>ZvwiL t-</t>
  </si>
  <si>
    <t>‡µwWU</t>
  </si>
  <si>
    <t>‡WwWU</t>
  </si>
  <si>
    <t>‡gmvm© Imgvb wdm&amp;</t>
  </si>
  <si>
    <t>mvBb‡evW© evRvi grm Avor</t>
  </si>
  <si>
    <t>evi t</t>
  </si>
  <si>
    <t xml:space="preserve"> †gvU †µwWU t</t>
  </si>
  <si>
    <t>‡gvU †WweU t</t>
  </si>
  <si>
    <t>eZ©gvb K¨vk t</t>
  </si>
  <si>
    <t>c~‡e©i K¨vk-Bb-n¨vÛ t</t>
  </si>
  <si>
    <t>ïµevi</t>
  </si>
  <si>
    <t>Kwgkb--</t>
  </si>
  <si>
    <t>mwgwZ--</t>
  </si>
  <si>
    <t>gmwR`--</t>
  </si>
  <si>
    <t>bM` Rgv--</t>
  </si>
  <si>
    <t>kvwKj--</t>
  </si>
  <si>
    <t>‡ejv‡qZ--</t>
  </si>
  <si>
    <t>1 bs</t>
  </si>
  <si>
    <t>3bs</t>
  </si>
  <si>
    <t>12bs</t>
  </si>
  <si>
    <t>1 bs-</t>
  </si>
  <si>
    <t>2 bs-</t>
  </si>
  <si>
    <t>3 bs-</t>
  </si>
  <si>
    <t>4 bs-</t>
  </si>
  <si>
    <t>5 bs-</t>
  </si>
  <si>
    <t>6 bs-</t>
  </si>
  <si>
    <t>7 bs-</t>
  </si>
  <si>
    <t>8 bs-</t>
  </si>
  <si>
    <t>9 bs-</t>
  </si>
  <si>
    <t>10 bs-</t>
  </si>
  <si>
    <t>11 bs-</t>
  </si>
  <si>
    <t>12 bs-</t>
  </si>
  <si>
    <t>13 bs-</t>
  </si>
  <si>
    <t>14 bs-</t>
  </si>
  <si>
    <t>15 bs-</t>
  </si>
  <si>
    <t>16 bs-</t>
  </si>
  <si>
    <t>bM` weµq--</t>
  </si>
  <si>
    <t>BKivg--</t>
  </si>
  <si>
    <t>kvwKj --</t>
  </si>
  <si>
    <t>Avt iv¾vK--</t>
  </si>
  <si>
    <t>wRKz--</t>
  </si>
  <si>
    <t>Av‡bvqvi--</t>
  </si>
  <si>
    <t>‡gv¯Ídv--</t>
  </si>
  <si>
    <t>‡gvZv‡je--</t>
  </si>
  <si>
    <t>eKzj fvB--</t>
  </si>
  <si>
    <t>‡mvnvM--</t>
  </si>
  <si>
    <t>jyrdvi--</t>
  </si>
  <si>
    <t>AvjgwMi--</t>
  </si>
  <si>
    <t>gnvwmb--</t>
  </si>
  <si>
    <t>‡gvt Avmjvg--</t>
  </si>
  <si>
    <t>‡gvt gvgyb--</t>
  </si>
  <si>
    <t>eKwkm--</t>
  </si>
  <si>
    <t>bv¯Ív LiP--</t>
  </si>
  <si>
    <t>eªvm µq--</t>
  </si>
  <si>
    <t>K¨vk mU / †jvKgvb--</t>
  </si>
  <si>
    <t>01 bs-</t>
  </si>
  <si>
    <t>02 bs-</t>
  </si>
  <si>
    <t>03 bs-</t>
  </si>
  <si>
    <t>04 bs-</t>
  </si>
  <si>
    <t>05 bs-</t>
  </si>
  <si>
    <t>06 bs-</t>
  </si>
  <si>
    <t>07 bs-</t>
  </si>
  <si>
    <t>08 bs-</t>
  </si>
  <si>
    <t>09 bs-</t>
  </si>
  <si>
    <t>kwbevi</t>
  </si>
  <si>
    <t>bM` weµq-</t>
  </si>
  <si>
    <t>jytdi Rgv-</t>
  </si>
  <si>
    <t>AvjgwMi Rgv-</t>
  </si>
  <si>
    <t>Avmjvg Rgv-</t>
  </si>
  <si>
    <t>GKivg Rgv-</t>
  </si>
  <si>
    <t>‡mvnvM Rgv-</t>
  </si>
  <si>
    <t>gvgyb Rgv-</t>
  </si>
  <si>
    <t>‡gvZv‡je Rgv-</t>
  </si>
  <si>
    <t>÷vd bv¯Ív-</t>
  </si>
  <si>
    <t>Kwgkb-</t>
  </si>
  <si>
    <t>gmwR`-</t>
  </si>
  <si>
    <t>mwgwZ-</t>
  </si>
  <si>
    <t>RvwKi PvPv--</t>
  </si>
  <si>
    <t>wRKz fvB--</t>
  </si>
  <si>
    <t>bM`--</t>
  </si>
  <si>
    <t>ûgvqyb--</t>
  </si>
  <si>
    <t>jytdvi--</t>
  </si>
  <si>
    <t>gwZb--</t>
  </si>
  <si>
    <t>Avmjvg--</t>
  </si>
  <si>
    <t>‡ngv‡qZ--</t>
  </si>
  <si>
    <t>c~‡e©i LiP-1650</t>
  </si>
  <si>
    <t>AvR‡Ki LiP-700</t>
  </si>
  <si>
    <t>‡gvU eKwkm= 2350</t>
  </si>
  <si>
    <t>gnvwmb Rgv--</t>
  </si>
  <si>
    <t>kvwKj Rgv--</t>
  </si>
  <si>
    <t>Avmjvg Rgv--</t>
  </si>
  <si>
    <t>‡ejv‡qZ Rgv--</t>
  </si>
  <si>
    <t>‡ngv‡qZ Rgv--</t>
  </si>
  <si>
    <t>jyrdvi Rgv--</t>
  </si>
  <si>
    <t>‡gvZv‡je Rgv--</t>
  </si>
  <si>
    <t>mvjvg Rgv--</t>
  </si>
  <si>
    <t>ûgvqyb Rgv--</t>
  </si>
  <si>
    <t>÷vd‡`i bv¯Ív--</t>
  </si>
  <si>
    <t>gUi wdwUsm--</t>
  </si>
  <si>
    <t>Awdm LiP--</t>
  </si>
  <si>
    <t>‡gvt jyrdvi--</t>
  </si>
  <si>
    <t>iæûj--</t>
  </si>
  <si>
    <t>kvwgg--</t>
  </si>
  <si>
    <t>iwdKzj--</t>
  </si>
  <si>
    <t>gvgyb--</t>
  </si>
  <si>
    <t>Gg`v`--</t>
  </si>
  <si>
    <t>Avjvwgb--</t>
  </si>
  <si>
    <t>mvjvg--</t>
  </si>
  <si>
    <t>nvwKg--</t>
  </si>
  <si>
    <t>‡mv‡nj--</t>
  </si>
  <si>
    <t>17 bs</t>
  </si>
  <si>
    <t>18 bs</t>
  </si>
  <si>
    <t>19 bs</t>
  </si>
  <si>
    <t>20 bs</t>
  </si>
  <si>
    <t>21 bs</t>
  </si>
  <si>
    <t>22 bs</t>
  </si>
  <si>
    <t>23 bs</t>
  </si>
  <si>
    <t>24 bs</t>
  </si>
  <si>
    <t>25 bs</t>
  </si>
  <si>
    <t>26 bs</t>
  </si>
  <si>
    <t>27 bs</t>
  </si>
  <si>
    <t>30 bs-</t>
  </si>
  <si>
    <t>31 bs-</t>
  </si>
  <si>
    <t>32 bs-</t>
  </si>
  <si>
    <t>33 bs-</t>
  </si>
  <si>
    <t>34 bs-</t>
  </si>
  <si>
    <t>35 bs-</t>
  </si>
  <si>
    <t>36 bs-</t>
  </si>
  <si>
    <t>37 bs-</t>
  </si>
  <si>
    <t>38 bs-</t>
  </si>
  <si>
    <t>39 bs-</t>
  </si>
  <si>
    <t>40 bs-</t>
  </si>
  <si>
    <t>41 bs-</t>
  </si>
  <si>
    <t>42 bs-</t>
  </si>
  <si>
    <t>43 bs-</t>
  </si>
  <si>
    <t>44 bs-</t>
  </si>
  <si>
    <t>45 bs-</t>
  </si>
  <si>
    <t>46 bs-</t>
  </si>
  <si>
    <t>47 bs-</t>
  </si>
  <si>
    <t>48 bs-</t>
  </si>
  <si>
    <t>49 bs-</t>
  </si>
  <si>
    <t>c~‡e©i LiP-2350</t>
  </si>
  <si>
    <t>iweevi</t>
  </si>
  <si>
    <t>28bs-</t>
  </si>
  <si>
    <t>29bs-</t>
  </si>
  <si>
    <t>30bs-</t>
  </si>
  <si>
    <t>31bs-</t>
  </si>
  <si>
    <t>32bs-</t>
  </si>
  <si>
    <t>33bs-</t>
  </si>
  <si>
    <t>34bs-</t>
  </si>
  <si>
    <t>35bs-</t>
  </si>
  <si>
    <t>36bs-</t>
  </si>
  <si>
    <t>37bs-</t>
  </si>
  <si>
    <t>38bs-</t>
  </si>
  <si>
    <t>39bs-</t>
  </si>
  <si>
    <t>40bs-</t>
  </si>
  <si>
    <t>41bs-</t>
  </si>
  <si>
    <t>42bs-</t>
  </si>
  <si>
    <t>43bs-</t>
  </si>
  <si>
    <t>44bs-</t>
  </si>
  <si>
    <t>45bs-</t>
  </si>
  <si>
    <t>46bs-</t>
  </si>
  <si>
    <t>47bs-</t>
  </si>
  <si>
    <t>AvR‡Ki LiP-1470</t>
  </si>
  <si>
    <t>‡gvU LiP= 3820</t>
  </si>
  <si>
    <t xml:space="preserve"> †mvgevi</t>
  </si>
  <si>
    <t>kwn`yj--</t>
  </si>
  <si>
    <t>kvgxg--</t>
  </si>
  <si>
    <t>BwjqvQ--</t>
  </si>
  <si>
    <t>‰Zqve--</t>
  </si>
  <si>
    <t>‡gv¯Í--</t>
  </si>
  <si>
    <t>iv¾vK--</t>
  </si>
  <si>
    <t>eKzj--</t>
  </si>
  <si>
    <t>kvwKj Av`vq-</t>
  </si>
  <si>
    <t>Avmjvg Av`vq--</t>
  </si>
  <si>
    <t>eKzj Av`vq--</t>
  </si>
  <si>
    <t>‡ngv‡qZ Av`vq--</t>
  </si>
  <si>
    <t>‡gvt wRKz Av`vq--</t>
  </si>
  <si>
    <t>RvwKi Av`vq--</t>
  </si>
  <si>
    <t>‡gv¯Í Av`vq--</t>
  </si>
  <si>
    <t>iv¾vK Av`vq--</t>
  </si>
  <si>
    <t>Gg`v` Av`vq--</t>
  </si>
  <si>
    <t>iwdKzj Av`vq--</t>
  </si>
  <si>
    <t>nvwKg Av`vq--</t>
  </si>
  <si>
    <t>kvwgg Av`vq--</t>
  </si>
  <si>
    <t>iæûj Av`vq--</t>
  </si>
  <si>
    <t>‡ejv‡qZ Av`vq--</t>
  </si>
  <si>
    <t>imyj Av`vq--</t>
  </si>
  <si>
    <t>‡gvZv‡je Av`vq--</t>
  </si>
  <si>
    <t>gvgyb Av`vq--</t>
  </si>
  <si>
    <t>AvjgwMi Av`vq--</t>
  </si>
  <si>
    <t>ûgvqyb Av`vq--</t>
  </si>
  <si>
    <t>Av‡bvqvi Av`vq--</t>
  </si>
  <si>
    <t>Avjvwgb Av`vq--</t>
  </si>
  <si>
    <t>jyrdvi Av`vq--</t>
  </si>
  <si>
    <t>jyrdvi-</t>
  </si>
  <si>
    <t>gvnveye--</t>
  </si>
  <si>
    <t>48bs-</t>
  </si>
  <si>
    <t>49bs-</t>
  </si>
  <si>
    <t>50bs-</t>
  </si>
  <si>
    <t>51bs-</t>
  </si>
  <si>
    <t>52bs-</t>
  </si>
  <si>
    <t>53bs-</t>
  </si>
  <si>
    <t>55bs-</t>
  </si>
  <si>
    <t>54bs-</t>
  </si>
  <si>
    <t>56bs-</t>
  </si>
  <si>
    <t>58bs-</t>
  </si>
  <si>
    <t>57bs-</t>
  </si>
  <si>
    <t>60bs-</t>
  </si>
  <si>
    <t>59bs-</t>
  </si>
  <si>
    <t>61bs-</t>
  </si>
  <si>
    <t>63bs-</t>
  </si>
  <si>
    <t>67bs-</t>
  </si>
  <si>
    <t>64bs-</t>
  </si>
  <si>
    <t>62bs-</t>
  </si>
  <si>
    <t>66bs-</t>
  </si>
  <si>
    <t>65bs-</t>
  </si>
  <si>
    <t>÷vd‡`I cwienb LiP--</t>
  </si>
  <si>
    <t>c~‡e©i LiP-3820</t>
  </si>
  <si>
    <t>AvR‡Ki LiP-1540</t>
  </si>
  <si>
    <t>‡gvU LiP= 5360</t>
  </si>
  <si>
    <t>g½jevi</t>
  </si>
  <si>
    <t>bM`-</t>
  </si>
  <si>
    <t>‡gvt ˆZqe--</t>
  </si>
  <si>
    <t>‡gvt RvwKi--</t>
  </si>
  <si>
    <t>‡gvt †ngv‡qZ--</t>
  </si>
  <si>
    <t>‡gvt gvneye--</t>
  </si>
  <si>
    <t>‡gvt nvwKg--</t>
  </si>
  <si>
    <t>BbQvb--</t>
  </si>
  <si>
    <t>wbjy †gvevBj--</t>
  </si>
  <si>
    <t>gvmyg †gvevBj--</t>
  </si>
  <si>
    <t>gvnveye Av`vq--</t>
  </si>
  <si>
    <t>‡mv‡nj Av`vq--</t>
  </si>
  <si>
    <t>mvjvg Av`vq--</t>
  </si>
  <si>
    <t>‰Zqe Av`vq--</t>
  </si>
  <si>
    <t>gwZb Av`vq--</t>
  </si>
  <si>
    <t>kvgxg Av`vq--</t>
  </si>
  <si>
    <t>kwn`yj Av`vq--</t>
  </si>
  <si>
    <t>BwjqvQ Av`vq--</t>
  </si>
  <si>
    <t>kvwKj Av`vq--</t>
  </si>
  <si>
    <t>jyrdi Av`vq--</t>
  </si>
  <si>
    <t>‡gvt kwn`yj--</t>
  </si>
  <si>
    <t>AvwRRyj--</t>
  </si>
  <si>
    <t>Lvb KvKv--</t>
  </si>
  <si>
    <t>jyrdi--</t>
  </si>
  <si>
    <t>ivZzj †ewk †bqv/K¨vk mU--</t>
  </si>
  <si>
    <t>c~‡e©i LiP-5360</t>
  </si>
  <si>
    <t>AvR‡Ki LiP-4620</t>
  </si>
  <si>
    <t>eyaevi</t>
  </si>
  <si>
    <t>‡gvt mvjvg--</t>
  </si>
  <si>
    <t>‡gvt Ggvg--</t>
  </si>
  <si>
    <t>‡gvt ‡gv¯Í--</t>
  </si>
  <si>
    <t>‡gvt mvnveywÏb--</t>
  </si>
  <si>
    <t>dviæL--</t>
  </si>
  <si>
    <t>nv‡dR mv‡ne--</t>
  </si>
  <si>
    <t>Gbmvb--</t>
  </si>
  <si>
    <t>gvmyg †eZb--</t>
  </si>
  <si>
    <t>AvR‡Ki LiP-2070</t>
  </si>
  <si>
    <t>(-) ivZzj Rgv-- 2650</t>
  </si>
  <si>
    <t>e„n¯úwZevi</t>
  </si>
  <si>
    <t>‡gvt iv¾vK--</t>
  </si>
  <si>
    <t>‡gvt jytdvi--</t>
  </si>
  <si>
    <t>‡gvt ‡gv¯Í --</t>
  </si>
  <si>
    <t>‡gvt wRKz--</t>
  </si>
  <si>
    <t>‡gvt  †mvnvM--</t>
  </si>
  <si>
    <t>mvnveywÏb--</t>
  </si>
  <si>
    <t>jvj fvB--</t>
  </si>
  <si>
    <t>‡gvnwmb--</t>
  </si>
  <si>
    <t>RvwKi--</t>
  </si>
  <si>
    <t>Avmv`--</t>
  </si>
  <si>
    <t>Kwig--</t>
  </si>
  <si>
    <t>Rvgvj--</t>
  </si>
  <si>
    <t>‡gvt wgVz--</t>
  </si>
  <si>
    <t>BKevj--</t>
  </si>
  <si>
    <t>iæûj Avwgb--</t>
  </si>
  <si>
    <t>kvnvRvb--</t>
  </si>
  <si>
    <t>‰Zqe--</t>
  </si>
  <si>
    <t>kvnveywÏb--</t>
  </si>
  <si>
    <t>Ggvg--</t>
  </si>
  <si>
    <t>AvR‡Ki LiP-1320</t>
  </si>
  <si>
    <t>‡gvU LiP= 9980</t>
  </si>
  <si>
    <t>c~‡e©i LiP-9980</t>
  </si>
  <si>
    <t>‡gvU LiP= 12050</t>
  </si>
  <si>
    <t>‡gvU LiP= 9400</t>
  </si>
  <si>
    <t>c~‡e©i LiP-9400</t>
  </si>
  <si>
    <t>‡gvU LiP= 10720</t>
  </si>
  <si>
    <t>RvwKi Avor--</t>
  </si>
  <si>
    <t>kvwnb--</t>
  </si>
  <si>
    <t>`yjy--</t>
  </si>
  <si>
    <t>mvMi--</t>
  </si>
  <si>
    <t>mvBdzj--</t>
  </si>
  <si>
    <t>Rvnvw½i--</t>
  </si>
  <si>
    <t>Avjg--</t>
  </si>
  <si>
    <t>Avjg †gvjøv--</t>
  </si>
  <si>
    <t>kvwgg</t>
  </si>
  <si>
    <t>‡mwjg--</t>
  </si>
  <si>
    <t>c~‡e©i LiP-10720</t>
  </si>
  <si>
    <t>AvR‡Ki LiP-1070</t>
  </si>
  <si>
    <t>‡gvU LiP= 11790</t>
  </si>
  <si>
    <t>AvR‡Ki evKx = 2,26,130/=</t>
  </si>
  <si>
    <t>AvR‡Ki Av`vq = 1,02,710/=</t>
  </si>
  <si>
    <t>‡mvnvM Av`vq--</t>
  </si>
  <si>
    <t>dviæK Av`vq--</t>
  </si>
  <si>
    <t>wUUz Av`vq--</t>
  </si>
  <si>
    <t>kvwnb Av`vq--</t>
  </si>
  <si>
    <t>`yjy Av`vq--</t>
  </si>
  <si>
    <t>AvjgwMi KPzqv Av`vq--</t>
  </si>
  <si>
    <t>Avmv` Av`vq--</t>
  </si>
  <si>
    <t>Rvnvw½i Av`vq--</t>
  </si>
  <si>
    <t>Avjg evRvi Av`vq--</t>
  </si>
  <si>
    <t>Avjg ‡gvjøv Av`vq--</t>
  </si>
  <si>
    <t>Ggv`yj †eZb--</t>
  </si>
  <si>
    <t>c~‡e©i LiP-11790</t>
  </si>
  <si>
    <t>AvR‡Ki LiP-5350</t>
  </si>
  <si>
    <t>‡gvU LiP= 17140</t>
  </si>
  <si>
    <t>AvR‡Ki Av`vq = 1,20,570/=</t>
  </si>
  <si>
    <t>AvR‡Ki evKx = 1,72,570/=</t>
  </si>
  <si>
    <t>gyiv`--</t>
  </si>
  <si>
    <t>ev`kv--</t>
  </si>
  <si>
    <t>wgRvb--</t>
  </si>
  <si>
    <t>g~jab †`qv--</t>
  </si>
  <si>
    <t>kvnRvnvb--</t>
  </si>
  <si>
    <t>GKivg--</t>
  </si>
  <si>
    <t>kvveywÏb--</t>
  </si>
  <si>
    <t>gyiv` (XvKv)--</t>
  </si>
  <si>
    <t>evnv`yi--</t>
  </si>
  <si>
    <t>iv‡mj--</t>
  </si>
  <si>
    <t>Avt nvB--</t>
  </si>
  <si>
    <t>imyj--</t>
  </si>
  <si>
    <t>Bgvg--</t>
  </si>
  <si>
    <t>gvneye--</t>
  </si>
  <si>
    <t>wUUz--</t>
  </si>
  <si>
    <t>m`v--</t>
  </si>
  <si>
    <t>AvR‡Ki evKx = 3,45,080/=</t>
  </si>
  <si>
    <t>AvR‡Ki Av`vq = 1,12,280/=</t>
  </si>
  <si>
    <t>c~‡e©i LiP-17140</t>
  </si>
  <si>
    <t>AvR‡Ki LiP-1830</t>
  </si>
  <si>
    <t>‡gvU LiP= 18970</t>
  </si>
  <si>
    <t>‡mvgevi</t>
  </si>
  <si>
    <t>‡mwj‡gi cvIbv UvKv cwi‡kva--</t>
  </si>
  <si>
    <t>wbjy avi--</t>
  </si>
  <si>
    <t>‡gv¯Í XvKv--</t>
  </si>
  <si>
    <t>eKzj XvKv--</t>
  </si>
  <si>
    <t>gyiv` --</t>
  </si>
  <si>
    <t>Rqbvj--</t>
  </si>
  <si>
    <t>kwn`--</t>
  </si>
  <si>
    <t>my‡`e--</t>
  </si>
  <si>
    <t>w`b eÜz--</t>
  </si>
  <si>
    <t>‰Zqe fvB--</t>
  </si>
  <si>
    <t>gvneye wi‡mvU©--</t>
  </si>
  <si>
    <t>g~jab--</t>
  </si>
  <si>
    <t>c~‡e©i LiP-18970</t>
  </si>
  <si>
    <t>AvR‡Ki LiP-1900</t>
  </si>
  <si>
    <t>‡gvU LiP= 20870</t>
  </si>
  <si>
    <t>AvR‡Ki evKx = 4,50,390/=</t>
  </si>
  <si>
    <t>AvR‡Ki Av`vq = 1,08,660/=</t>
  </si>
  <si>
    <t>225+226</t>
  </si>
  <si>
    <t>fvB fvB wdm--</t>
  </si>
  <si>
    <t>AvwRg--</t>
  </si>
  <si>
    <t>nvweeyjøvn--</t>
  </si>
  <si>
    <t>wbjy Rgv--</t>
  </si>
  <si>
    <t>AvR‡Ki evKx = 2,61,780/=</t>
  </si>
  <si>
    <t>AvR‡Ki Av`vq = 3,95,980/=</t>
  </si>
  <si>
    <t>c~‡e©i LiP-20870</t>
  </si>
  <si>
    <t>AvR‡Ki LiP-2100</t>
  </si>
  <si>
    <t>‡gvU LiP= 22970</t>
  </si>
  <si>
    <t>m`v †eZb-</t>
  </si>
  <si>
    <t>Øxb eÜz--</t>
  </si>
  <si>
    <t>iwk`--</t>
  </si>
  <si>
    <t>wgivR--</t>
  </si>
  <si>
    <t>dviæK--</t>
  </si>
  <si>
    <t>Rvwn`yj--</t>
  </si>
  <si>
    <t>Rvdi--</t>
  </si>
  <si>
    <t>KzÏym--</t>
  </si>
  <si>
    <t>iv¾vK evRvi--</t>
  </si>
  <si>
    <t>nvB--</t>
  </si>
  <si>
    <t>c~‡e©i LiP-22970</t>
  </si>
  <si>
    <t>AvR‡Ki LiP-3180</t>
  </si>
  <si>
    <t>‡gvU LiP= 26150</t>
  </si>
  <si>
    <t>AvR‡Ki evKx = 2,05,760/=</t>
  </si>
  <si>
    <t>AvR‡Ki Av`vq = 5,78,970/=</t>
  </si>
  <si>
    <t xml:space="preserve">‡gvZv‡je-- </t>
  </si>
  <si>
    <t>wgRy--</t>
  </si>
  <si>
    <t>evmvi (PiKvVx)--</t>
  </si>
  <si>
    <t>`yjy evRvi--</t>
  </si>
  <si>
    <t>wgjUb--</t>
  </si>
  <si>
    <t>wgivR (û‡jvinvU)--</t>
  </si>
  <si>
    <t>iwdKzj-</t>
  </si>
  <si>
    <t>BwjqvQ --</t>
  </si>
  <si>
    <t>mvjvg-</t>
  </si>
  <si>
    <t>g~jab †diZ--</t>
  </si>
  <si>
    <t>ms¯’vcb e¨q--</t>
  </si>
  <si>
    <t>AvR‡Ki evKx = 2,80,940/=</t>
  </si>
  <si>
    <t>AvR‡Ki Av`vq = 3,14,620/=</t>
  </si>
  <si>
    <t>c~‡e©i LiP-26150/=</t>
  </si>
  <si>
    <t>‡gvU LiP= 30030/=</t>
  </si>
  <si>
    <t>AvR‡Ki LiP-3880/=</t>
  </si>
  <si>
    <t>wØb eÜz--</t>
  </si>
  <si>
    <t>Gkivg--</t>
  </si>
  <si>
    <t>evmvi--</t>
  </si>
  <si>
    <t>gvnveye weQU--</t>
  </si>
  <si>
    <t>AvwRRyj evRvi--</t>
  </si>
  <si>
    <t>gwbi Avor--</t>
  </si>
  <si>
    <t>wMqvm--</t>
  </si>
  <si>
    <t>RvwKi m`©vi--</t>
  </si>
  <si>
    <t>c~‡e©i LiP-30030/=</t>
  </si>
  <si>
    <t>AvR‡Ki LiP-2490/=</t>
  </si>
  <si>
    <t>‡gvU LiP= 32520/=</t>
  </si>
  <si>
    <t>AvR‡Ki Av`vq = 2,10,400/=</t>
  </si>
  <si>
    <t>AvR‡Ki evKx = 2,65,220/=</t>
  </si>
  <si>
    <t>‡mvnvM --</t>
  </si>
  <si>
    <t>‡eiv‡qZ--</t>
  </si>
  <si>
    <t>jvwK fvB--</t>
  </si>
  <si>
    <t>BwjqvQ Avor--</t>
  </si>
  <si>
    <t>wicb--</t>
  </si>
  <si>
    <t>m`v †eZb--</t>
  </si>
  <si>
    <t>c~‡e©i LiP-32520/=</t>
  </si>
  <si>
    <t>AvR‡Ki Av`vq = 1,46,270/=</t>
  </si>
  <si>
    <t>AvR‡Ki evKx = 2,71,510/=</t>
  </si>
  <si>
    <t>‡LvKb ZvjyK`vi--</t>
  </si>
  <si>
    <t>4-10-24 K¨vk e„w×--</t>
  </si>
  <si>
    <t>18-10-24 K¨vk e„w×--</t>
  </si>
  <si>
    <t>19-10-24 K¨vk e„w×--</t>
  </si>
  <si>
    <t>jvwK fvB‡qi UvKv Rgv--</t>
  </si>
  <si>
    <t>AvwRRyj Rgv--</t>
  </si>
  <si>
    <t>wicb Rgv--</t>
  </si>
  <si>
    <t>wgRvb Rgv--</t>
  </si>
  <si>
    <t>BwjqvQ Avor Rgv--</t>
  </si>
  <si>
    <t>Avjg Rgv--</t>
  </si>
  <si>
    <t>Ggvg Rgv--</t>
  </si>
  <si>
    <t>AvjgwMi Rgv--</t>
  </si>
  <si>
    <t>wbjy fvB avi--</t>
  </si>
  <si>
    <t>RvwKi ‡ZjxMvZx--</t>
  </si>
  <si>
    <t>AvR‡Ki Av`vq = 1,55,730/=</t>
  </si>
  <si>
    <t>AvR‡Ki LiP-9150/=</t>
  </si>
  <si>
    <t>wgëb--</t>
  </si>
  <si>
    <t>kvRvnvb--</t>
  </si>
  <si>
    <t>RvwKi †Zt--</t>
  </si>
  <si>
    <t>RvwKi †Zjxt--</t>
  </si>
  <si>
    <t>wiqvR--</t>
  </si>
  <si>
    <t>wbjy--</t>
  </si>
  <si>
    <t>AvR‡Ki Av`vq = 3,87,150/=</t>
  </si>
  <si>
    <t>AvR‡Ki evKx = 1,78,820/=</t>
  </si>
  <si>
    <t>AvR‡Ki LiP-2250/=</t>
  </si>
  <si>
    <t>513+511</t>
  </si>
  <si>
    <t>gwn`yj--</t>
  </si>
  <si>
    <t>‰Zqe Avwj--</t>
  </si>
  <si>
    <t>Bg`v`--</t>
  </si>
  <si>
    <t>AvR‡Ki Av`vq = 1,60,310/=</t>
  </si>
  <si>
    <t>AvR‡Ki evKx = 3,39,460/=</t>
  </si>
  <si>
    <t>AvR‡Ki LiP-4830/=</t>
  </si>
  <si>
    <t>AvR‡Ki LiP-2840/=</t>
  </si>
  <si>
    <t>‡gvU LiP= 35360/=</t>
  </si>
  <si>
    <t>c~‡e©i LiP-35360/=</t>
  </si>
  <si>
    <t>‡gvU LiP= 44510/=</t>
  </si>
  <si>
    <t>c~‡e©i LiP-44510/=</t>
  </si>
  <si>
    <t>‡gvU LiP= 46760/=</t>
  </si>
  <si>
    <t>c~‡e©i LiP-46760/=</t>
  </si>
  <si>
    <t>‡gvU LiP= 51590/=</t>
  </si>
  <si>
    <t>gvgyb †eZb--</t>
  </si>
  <si>
    <t>Bwjqv‡Qi UvKv mgš^q--</t>
  </si>
  <si>
    <t>‡gv¯Í --</t>
  </si>
  <si>
    <t>BwjqvQ UvK--</t>
  </si>
  <si>
    <t>Avmv` †Pvgiv--</t>
  </si>
  <si>
    <t>wUUz evRvi--</t>
  </si>
  <si>
    <t>mv‡q` †gvjøv--</t>
  </si>
  <si>
    <t>Gb`vZ--</t>
  </si>
  <si>
    <t>wbjy cwi‡kva--</t>
  </si>
  <si>
    <t>AvR‡Ki Av`vq = 2,08,260/=</t>
  </si>
  <si>
    <t>AvR‡Ki evKx = 1,49,410/=</t>
  </si>
  <si>
    <t>c~‡e©i LiP-51590/=</t>
  </si>
  <si>
    <t>AvR‡Ki LiP-7210/=</t>
  </si>
  <si>
    <t>‡gvU LiP= 58800/=</t>
  </si>
  <si>
    <t>‡ejøvj--</t>
  </si>
  <si>
    <t>Zzwnb--</t>
  </si>
  <si>
    <t>jrdi divRx--</t>
  </si>
  <si>
    <t>AvR‡Ki LiP-6550/=</t>
  </si>
  <si>
    <t>AvR‡Ki evKx = 3,48,770/=</t>
  </si>
  <si>
    <t>AvR‡Ki Av`vq = 3,02,210/=</t>
  </si>
  <si>
    <t>c~‡e©i LiP-58550/=</t>
  </si>
  <si>
    <t>‡gvU LiP= 65100/=</t>
  </si>
  <si>
    <t>gvQ µ‡qi UvKv Rgv--</t>
  </si>
  <si>
    <t>iv¾vK Rgv--</t>
  </si>
  <si>
    <t>BwjqvQ Uzwc--</t>
  </si>
  <si>
    <t>kwn`yj KPzqv--</t>
  </si>
  <si>
    <t>iv¾vK evKx--</t>
  </si>
  <si>
    <t>‡Zqe--</t>
  </si>
  <si>
    <t>gvneye weQU--</t>
  </si>
  <si>
    <t>wbjy gvQ weµq--</t>
  </si>
  <si>
    <t>mv‡q`--</t>
  </si>
  <si>
    <t xml:space="preserve">jvj fvB-- </t>
  </si>
  <si>
    <t>wejøvj--</t>
  </si>
  <si>
    <t>c~‡e©i LiP-65100/=</t>
  </si>
  <si>
    <t>AvR‡Ki LiP-1230/=</t>
  </si>
  <si>
    <t>‡gvU LiP= 66330/=</t>
  </si>
  <si>
    <t>AvR‡Ki evKx = 94,230/=</t>
  </si>
  <si>
    <t>AvR‡Ki Av`vq = 2,68,730/=</t>
  </si>
  <si>
    <t>dviæL Lvb--</t>
  </si>
  <si>
    <t>mvLvIqvZ--</t>
  </si>
  <si>
    <t>AvR‡Ki Av`vq = 1,87,750/=</t>
  </si>
  <si>
    <t>AvR‡Ki evKx = 1,05,910/=</t>
  </si>
  <si>
    <t>AvR‡Ki LiP-1820/=</t>
  </si>
  <si>
    <t>‡gvU LiP= 68150/=</t>
  </si>
  <si>
    <t>c~‡e©i LiP-66330/=</t>
  </si>
  <si>
    <t>wbjy avi cwi‡kva--</t>
  </si>
  <si>
    <t>wbjy ‡gvUi-mvB‡Kj--</t>
  </si>
  <si>
    <t>B›Uvi‡bU+wUwf--</t>
  </si>
  <si>
    <t>1016*17</t>
  </si>
  <si>
    <t>AvR‡Ki evKx =3,74,570/=</t>
  </si>
  <si>
    <t>AvR‡Ki Av`vq = 91,830/=</t>
  </si>
  <si>
    <t>mvB`yj--</t>
  </si>
  <si>
    <t>iwdKzj fvULvjx--</t>
  </si>
  <si>
    <t>iwdKzj Kvt--</t>
  </si>
  <si>
    <t>gvnKzK weQU--</t>
  </si>
  <si>
    <t>mvLvIqvZ fvU--</t>
  </si>
  <si>
    <t>jvj wgqv--</t>
  </si>
  <si>
    <t>gvndzR--</t>
  </si>
  <si>
    <t>iæ¤§b--</t>
  </si>
  <si>
    <t>c~‡e©i LiP-68150/=</t>
  </si>
  <si>
    <t>AvR‡Ki LiP-24030/=</t>
  </si>
  <si>
    <t>‡gvU LiP= 92180/=</t>
  </si>
  <si>
    <t xml:space="preserve"> †LvKb fvB avi--</t>
  </si>
  <si>
    <t>gyiv` `dv`vi--</t>
  </si>
  <si>
    <t>c~‡e©i LiP-92180/=</t>
  </si>
  <si>
    <t>AvR‡Ki LiP-6690/=</t>
  </si>
  <si>
    <t>‡gvU LiP= 98870/=</t>
  </si>
  <si>
    <t>AvR‡Ki evKx = 4,44,400/=</t>
  </si>
  <si>
    <t>AvR‡Ki Av`vq = 3,91,560/=</t>
  </si>
  <si>
    <t>eKyj--</t>
  </si>
  <si>
    <t>AvjgwMi †Zjx--</t>
  </si>
  <si>
    <t>iwdKzj fvU--</t>
  </si>
  <si>
    <t>RvwKi †Zjx--</t>
  </si>
  <si>
    <t>‡gvRvg Lv--</t>
  </si>
  <si>
    <t>‡Rbv‡iUi PvKv--</t>
  </si>
  <si>
    <t>B›Uvi‡bU Li‡Pi UvKv †diZ--</t>
  </si>
  <si>
    <t>Gg. wW. mv‡ne †diZ--</t>
  </si>
  <si>
    <t>28-10-24 K¨vk e„w×--</t>
  </si>
  <si>
    <t>g~jab MÖnY--</t>
  </si>
  <si>
    <t>gvwZb--</t>
  </si>
  <si>
    <t>iæ¤§vb--</t>
  </si>
  <si>
    <t>Ggvg-</t>
  </si>
  <si>
    <t>‡gvRvg--</t>
  </si>
  <si>
    <t>jvKx avi--</t>
  </si>
  <si>
    <t>ivZzj avi--</t>
  </si>
  <si>
    <t>gxi Rvdi--</t>
  </si>
  <si>
    <t>GmnvK evavj--</t>
  </si>
  <si>
    <t>AvR‡Ki evKx = 6,44,300/=</t>
  </si>
  <si>
    <t>AvR‡Ki Av`vq = 2,78,900/=</t>
  </si>
  <si>
    <t>c~‡e©i LiP-98570/=</t>
  </si>
  <si>
    <t>AvR‡Ki LiP-6440/=</t>
  </si>
  <si>
    <t>‡gvU LiP= 105010/=</t>
  </si>
  <si>
    <t>gvQ weµq Kwgkb--</t>
  </si>
  <si>
    <t>gyiv` Rgv--</t>
  </si>
  <si>
    <t>ivZzj Rgv--</t>
  </si>
  <si>
    <t>gyiv` XvKv--</t>
  </si>
  <si>
    <t>nvwbd ev`vgZjv--</t>
  </si>
  <si>
    <t>dviyL Lvb--</t>
  </si>
  <si>
    <t>IevB`yj (ûgvqyb)--</t>
  </si>
  <si>
    <t>nvB KvKv--</t>
  </si>
  <si>
    <t>AvR‡Ki evKx = 1,90,630/=</t>
  </si>
  <si>
    <t>AvR‡Ki Av`vq = 3,86,070/=</t>
  </si>
  <si>
    <t>c~‡e©i LiP-105010/=</t>
  </si>
  <si>
    <t>AvR‡Ki LiP-2975/=</t>
  </si>
  <si>
    <t>‡gvU LiP= 107985/=</t>
  </si>
  <si>
    <t>jyrdvi divRx--</t>
  </si>
  <si>
    <t>jvKx fvB-</t>
  </si>
  <si>
    <t>GmnvK--</t>
  </si>
  <si>
    <t>IevB`yj-</t>
  </si>
  <si>
    <t>nvwbd--</t>
  </si>
  <si>
    <t>Zv‡iK Gi gRywi+n¨vÛ gvBK--</t>
  </si>
  <si>
    <t>IevB`yj--</t>
  </si>
  <si>
    <t>mywbj--</t>
  </si>
  <si>
    <t>AvR‡Ki Av`vq = 2,87,590/=</t>
  </si>
  <si>
    <t>‡gvZv‡je KvKv--</t>
  </si>
  <si>
    <t>AvR‡Ki evKx = 3,03,240/=</t>
  </si>
  <si>
    <t>c~‡e©i LiP-107985/=</t>
  </si>
  <si>
    <t>AvR‡Ki LiP-4015/=</t>
  </si>
  <si>
    <t>‡gvU LiP= 112000/=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</si>
</sst>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"/>
      <name val="SutonnyMJ"/>
    </font>
    <font>
      <b/>
      <sz val="28"/>
      <name val="SutonnyMJ"/>
    </font>
    <font>
      <b/>
      <u val="double"/>
      <sz val="24"/>
      <name val="SutonnyMJ"/>
    </font>
    <font>
      <b/>
      <sz val="18"/>
      <name val="Calibri"/>
      <family val="2"/>
      <scheme val="minor"/>
    </font>
    <font>
      <b/>
      <sz val="22"/>
      <name val="SutonnyMJ"/>
    </font>
    <font>
      <b/>
      <sz val="20"/>
      <name val="SutonnyMJ"/>
    </font>
    <font>
      <b/>
      <sz val="24"/>
      <name val="SutonnyMJ"/>
    </font>
    <font>
      <b/>
      <sz val="16"/>
      <name val="SutonnyMJ"/>
    </font>
    <font>
      <b/>
      <sz val="16"/>
      <name val="Times New Roman"/>
      <family val="1"/>
    </font>
    <font>
      <b/>
      <sz val="16"/>
      <name val="Calibri"/>
      <family val="2"/>
      <scheme val="minor"/>
    </font>
    <font>
      <b/>
      <sz val="26"/>
      <color rgb="FF00B050"/>
      <name val="SutonnyMJ"/>
    </font>
    <font>
      <b/>
      <u val="double"/>
      <sz val="18"/>
      <color rgb="FF7030A0"/>
      <name val="SutonnyMJ"/>
    </font>
    <font>
      <b/>
      <u val="double"/>
      <sz val="20"/>
      <color rgb="FF7030A0"/>
      <name val="SutonnyMJ"/>
    </font>
    <font>
      <b/>
      <sz val="28"/>
      <color rgb="FF7030A0"/>
      <name val="SutonnyMJ"/>
    </font>
    <font>
      <b/>
      <sz val="24"/>
      <color rgb="FF00B050"/>
      <name val="SutonnyMJ"/>
    </font>
    <font>
      <b/>
      <sz val="24"/>
      <color rgb="FF00B0F0"/>
      <name val="SutonnyMJ"/>
    </font>
    <font>
      <b/>
      <sz val="16"/>
      <color theme="5" tint="-0.249977111117893"/>
      <name val="SutonnyMJ"/>
    </font>
    <font>
      <b/>
      <sz val="24"/>
      <color theme="5" tint="-0.249977111117893"/>
      <name val="SutonnyMJ"/>
    </font>
    <font>
      <b/>
      <sz val="28"/>
      <color rgb="FF00B050"/>
      <name val="SutonnyMJ"/>
    </font>
    <font>
      <b/>
      <sz val="28"/>
      <color theme="5" tint="-0.249977111117893"/>
      <name val="SutonnyMJ"/>
    </font>
    <font>
      <sz val="8"/>
      <name val="Calibri"/>
      <family val="2"/>
      <scheme val="minor"/>
    </font>
    <font>
      <b/>
      <sz val="14"/>
      <name val="SutonnyMJ"/>
    </font>
    <font>
      <b/>
      <sz val="16"/>
      <color theme="0"/>
      <name val="Times New Roman"/>
      <family val="1"/>
    </font>
    <font>
      <b/>
      <sz val="16"/>
      <color theme="0"/>
      <name val="SutonnyMJ"/>
    </font>
    <font>
      <b/>
      <u val="double"/>
      <sz val="16"/>
      <name val="SutonnyMJ"/>
    </font>
    <font>
      <b/>
      <sz val="12"/>
      <name val="SutonnyMJ"/>
    </font>
    <font>
      <b/>
      <sz val="10"/>
      <name val="SutonnyMJ"/>
    </font>
    <font>
      <b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0"/>
      <name val="SutonnyMJ"/>
    </font>
    <font>
      <b/>
      <u val="double"/>
      <sz val="14"/>
      <name val="SutonnyMJ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7" fillId="4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3" fontId="22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4" fillId="6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22" fillId="0" borderId="3" xfId="0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right" vertical="center"/>
    </xf>
    <xf numFmtId="0" fontId="18" fillId="4" borderId="2" xfId="0" applyFont="1" applyFill="1" applyBorder="1" applyAlignment="1">
      <alignment horizontal="right" vertical="center"/>
    </xf>
    <xf numFmtId="0" fontId="18" fillId="4" borderId="3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3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45489" y="7204822"/>
          <a:ext cx="2972923" cy="4571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38</xdr:row>
      <xdr:rowOff>380440</xdr:rowOff>
    </xdr:from>
    <xdr:to>
      <xdr:col>6</xdr:col>
      <xdr:colOff>1232647</xdr:colOff>
      <xdr:row>39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40</xdr:row>
      <xdr:rowOff>380440</xdr:rowOff>
    </xdr:from>
    <xdr:to>
      <xdr:col>6</xdr:col>
      <xdr:colOff>1232647</xdr:colOff>
      <xdr:row>41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43</xdr:row>
      <xdr:rowOff>380440</xdr:rowOff>
    </xdr:from>
    <xdr:to>
      <xdr:col>6</xdr:col>
      <xdr:colOff>1232647</xdr:colOff>
      <xdr:row>44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42</xdr:row>
      <xdr:rowOff>380440</xdr:rowOff>
    </xdr:from>
    <xdr:to>
      <xdr:col>6</xdr:col>
      <xdr:colOff>1232647</xdr:colOff>
      <xdr:row>43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45</xdr:row>
      <xdr:rowOff>380440</xdr:rowOff>
    </xdr:from>
    <xdr:to>
      <xdr:col>6</xdr:col>
      <xdr:colOff>1232647</xdr:colOff>
      <xdr:row>46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37</xdr:row>
      <xdr:rowOff>380440</xdr:rowOff>
    </xdr:from>
    <xdr:to>
      <xdr:col>6</xdr:col>
      <xdr:colOff>1232647</xdr:colOff>
      <xdr:row>38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42</xdr:row>
      <xdr:rowOff>380440</xdr:rowOff>
    </xdr:from>
    <xdr:to>
      <xdr:col>6</xdr:col>
      <xdr:colOff>1232647</xdr:colOff>
      <xdr:row>43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48</xdr:row>
      <xdr:rowOff>380440</xdr:rowOff>
    </xdr:from>
    <xdr:to>
      <xdr:col>6</xdr:col>
      <xdr:colOff>1232647</xdr:colOff>
      <xdr:row>49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46</xdr:row>
      <xdr:rowOff>380440</xdr:rowOff>
    </xdr:from>
    <xdr:to>
      <xdr:col>6</xdr:col>
      <xdr:colOff>1232647</xdr:colOff>
      <xdr:row>47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45</xdr:row>
      <xdr:rowOff>380440</xdr:rowOff>
    </xdr:from>
    <xdr:to>
      <xdr:col>6</xdr:col>
      <xdr:colOff>1232647</xdr:colOff>
      <xdr:row>46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47</xdr:row>
      <xdr:rowOff>380440</xdr:rowOff>
    </xdr:from>
    <xdr:to>
      <xdr:col>6</xdr:col>
      <xdr:colOff>1232647</xdr:colOff>
      <xdr:row>48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7842</xdr:colOff>
      <xdr:row>35</xdr:row>
      <xdr:rowOff>380440</xdr:rowOff>
    </xdr:from>
    <xdr:to>
      <xdr:col>6</xdr:col>
      <xdr:colOff>1232647</xdr:colOff>
      <xdr:row>36</xdr:row>
      <xdr:rowOff>33953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>
        <a:xfrm>
          <a:off x="3436842" y="10048315"/>
          <a:ext cx="3101230" cy="4403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theme="0"/>
  </sheetPr>
  <dimension ref="A1:N46"/>
  <sheetViews>
    <sheetView view="pageBreakPreview" zoomScale="115" zoomScaleNormal="145" zoomScaleSheetLayoutView="115" zoomScalePageLayoutView="85" workbookViewId="0">
      <selection activeCell="F5" sqref="F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/>
      <c r="D3" s="58" t="s">
        <v>4</v>
      </c>
      <c r="E3" s="58"/>
      <c r="F3" s="17" t="s">
        <v>3</v>
      </c>
      <c r="G3" s="3"/>
      <c r="H3" s="57" t="s">
        <v>8</v>
      </c>
      <c r="I3" s="57"/>
      <c r="J3" s="18"/>
      <c r="K3" s="62" t="s">
        <v>5</v>
      </c>
      <c r="L3" s="62"/>
      <c r="M3" s="16" t="s">
        <v>3</v>
      </c>
      <c r="N3" s="3"/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v>500000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500000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500000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500000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500000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500000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500000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500000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500000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500000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500000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500000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500000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500000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500000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500000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500000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500000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500000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500000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500000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500000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500000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500000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500000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500000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500000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500000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500000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500000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500000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46" t="s">
        <v>9</v>
      </c>
      <c r="B35" s="46"/>
      <c r="C35" s="47"/>
      <c r="D35" s="54">
        <f>G34+F34</f>
        <v>500000</v>
      </c>
      <c r="E35" s="54"/>
      <c r="F35" s="54"/>
      <c r="G35" s="54"/>
      <c r="H35" s="48" t="s">
        <v>10</v>
      </c>
      <c r="I35" s="48"/>
      <c r="J35" s="49"/>
      <c r="K35" s="54">
        <f>N34+M34</f>
        <v>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43">
        <f>D35-D36</f>
        <v>500000</v>
      </c>
      <c r="E37" s="44"/>
      <c r="F37" s="44"/>
      <c r="G37" s="45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2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2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2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2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2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2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2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2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2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K37:M37"/>
    <mergeCell ref="H36:I36"/>
    <mergeCell ref="K36:M36"/>
    <mergeCell ref="H35:J35"/>
    <mergeCell ref="K3:L3"/>
    <mergeCell ref="D37:G37"/>
    <mergeCell ref="A35:C35"/>
    <mergeCell ref="A36:C36"/>
    <mergeCell ref="A37:C37"/>
    <mergeCell ref="H1:N1"/>
    <mergeCell ref="H2:N2"/>
    <mergeCell ref="D35:G35"/>
    <mergeCell ref="K35:N35"/>
    <mergeCell ref="D36:G36"/>
    <mergeCell ref="A4:E4"/>
    <mergeCell ref="A3:B3"/>
    <mergeCell ref="D3:E3"/>
    <mergeCell ref="A1:G1"/>
    <mergeCell ref="A2:G2"/>
    <mergeCell ref="H3:I3"/>
    <mergeCell ref="H37:I37"/>
  </mergeCells>
  <pageMargins left="0.33088235294117646" right="0" top="0.25" bottom="0" header="0.05" footer="0.0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H1" sqref="H1:N2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/>
      <c r="D3" s="58" t="s">
        <v>4</v>
      </c>
      <c r="E3" s="58"/>
      <c r="F3" s="17" t="s">
        <v>3</v>
      </c>
      <c r="G3" s="3"/>
      <c r="H3" s="57" t="s">
        <v>8</v>
      </c>
      <c r="I3" s="57"/>
      <c r="J3" s="18"/>
      <c r="K3" s="62" t="s">
        <v>5</v>
      </c>
      <c r="L3" s="62"/>
      <c r="M3" s="17" t="s">
        <v>3</v>
      </c>
      <c r="N3" s="3"/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(01)'!D37</f>
        <v>500000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500000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500000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500000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500000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500000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500000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500000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500000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500000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500000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500000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500000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500000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500000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500000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500000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500000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500000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500000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500000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500000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500000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500000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500000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500000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500000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500000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500000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500000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500000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46" t="s">
        <v>9</v>
      </c>
      <c r="B35" s="46"/>
      <c r="C35" s="47"/>
      <c r="D35" s="54">
        <f>G34+F34</f>
        <v>500000</v>
      </c>
      <c r="E35" s="54"/>
      <c r="F35" s="54"/>
      <c r="G35" s="54"/>
      <c r="H35" s="48" t="s">
        <v>10</v>
      </c>
      <c r="I35" s="48"/>
      <c r="J35" s="49"/>
      <c r="K35" s="54">
        <f>N34+M34</f>
        <v>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500000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N46"/>
  <sheetViews>
    <sheetView view="pageBreakPreview" zoomScale="115" zoomScaleNormal="145" zoomScaleSheetLayoutView="115" zoomScalePageLayoutView="85" workbookViewId="0">
      <selection activeCell="H1" sqref="H1:N2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/>
      <c r="D3" s="58" t="s">
        <v>4</v>
      </c>
      <c r="E3" s="58"/>
      <c r="F3" s="17" t="s">
        <v>3</v>
      </c>
      <c r="G3" s="3"/>
      <c r="H3" s="57" t="s">
        <v>8</v>
      </c>
      <c r="I3" s="57"/>
      <c r="J3" s="18"/>
      <c r="K3" s="62" t="s">
        <v>5</v>
      </c>
      <c r="L3" s="62"/>
      <c r="M3" s="17" t="s">
        <v>3</v>
      </c>
      <c r="N3" s="3"/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(2)'!D37</f>
        <v>500000</v>
      </c>
      <c r="G4" s="8" t="s">
        <v>2</v>
      </c>
      <c r="H4" s="10"/>
      <c r="I4" s="10"/>
      <c r="J4" s="10"/>
      <c r="K4" s="9" t="s">
        <v>0</v>
      </c>
      <c r="L4" s="10"/>
      <c r="M4" s="10"/>
      <c r="N4" s="8" t="s">
        <v>2</v>
      </c>
    </row>
    <row r="5" spans="1:14" s="11" customFormat="1" ht="21" customHeight="1" x14ac:dyDescent="0.25">
      <c r="A5" s="8"/>
      <c r="B5" s="8"/>
      <c r="C5" s="6"/>
      <c r="D5" s="9" t="s">
        <v>1</v>
      </c>
      <c r="E5" s="8"/>
      <c r="F5" s="10"/>
      <c r="G5" s="10">
        <f>F4</f>
        <v>500000</v>
      </c>
      <c r="H5" s="8"/>
      <c r="I5" s="8"/>
      <c r="J5" s="6"/>
      <c r="K5" s="9" t="s">
        <v>0</v>
      </c>
      <c r="L5" s="8"/>
      <c r="M5" s="10"/>
      <c r="N5" s="10">
        <f>M4</f>
        <v>0</v>
      </c>
    </row>
    <row r="6" spans="1:14" s="11" customFormat="1" ht="21" customHeight="1" x14ac:dyDescent="0.25">
      <c r="A6" s="8"/>
      <c r="B6" s="8"/>
      <c r="C6" s="6"/>
      <c r="D6" s="9" t="s">
        <v>1</v>
      </c>
      <c r="E6" s="8"/>
      <c r="F6" s="10"/>
      <c r="G6" s="10">
        <f>G5+F5</f>
        <v>500000</v>
      </c>
      <c r="H6" s="8"/>
      <c r="I6" s="8"/>
      <c r="J6" s="6"/>
      <c r="K6" s="9" t="s">
        <v>0</v>
      </c>
      <c r="L6" s="8"/>
      <c r="M6" s="10"/>
      <c r="N6" s="10">
        <f t="shared" ref="N6" si="0">N5+M5</f>
        <v>0</v>
      </c>
    </row>
    <row r="7" spans="1:14" s="11" customFormat="1" ht="21" customHeight="1" x14ac:dyDescent="0.25">
      <c r="A7" s="8"/>
      <c r="B7" s="8"/>
      <c r="C7" s="6"/>
      <c r="D7" s="9" t="s">
        <v>1</v>
      </c>
      <c r="E7" s="8"/>
      <c r="F7" s="10"/>
      <c r="G7" s="10">
        <f t="shared" ref="G7:G33" si="1">G6+F6</f>
        <v>500000</v>
      </c>
      <c r="H7" s="8"/>
      <c r="I7" s="8"/>
      <c r="J7" s="6"/>
      <c r="K7" s="9" t="s">
        <v>0</v>
      </c>
      <c r="L7" s="8"/>
      <c r="M7" s="10"/>
      <c r="N7" s="10">
        <f>N6+M6</f>
        <v>0</v>
      </c>
    </row>
    <row r="8" spans="1:14" s="11" customFormat="1" ht="21" customHeight="1" x14ac:dyDescent="0.25">
      <c r="A8" s="8"/>
      <c r="B8" s="8"/>
      <c r="C8" s="6"/>
      <c r="D8" s="9" t="s">
        <v>1</v>
      </c>
      <c r="E8" s="8"/>
      <c r="F8" s="10"/>
      <c r="G8" s="10">
        <f t="shared" si="1"/>
        <v>500000</v>
      </c>
      <c r="H8" s="8"/>
      <c r="I8" s="8"/>
      <c r="J8" s="6"/>
      <c r="K8" s="9" t="s">
        <v>0</v>
      </c>
      <c r="L8" s="8"/>
      <c r="M8" s="10"/>
      <c r="N8" s="10">
        <f t="shared" ref="N8:N34" si="2">N7+M7</f>
        <v>0</v>
      </c>
    </row>
    <row r="9" spans="1:14" s="11" customFormat="1" ht="21" customHeight="1" x14ac:dyDescent="0.25">
      <c r="A9" s="8"/>
      <c r="B9" s="8"/>
      <c r="C9" s="6"/>
      <c r="D9" s="9" t="s">
        <v>1</v>
      </c>
      <c r="E9" s="8"/>
      <c r="F9" s="10"/>
      <c r="G9" s="10">
        <f t="shared" si="1"/>
        <v>500000</v>
      </c>
      <c r="H9" s="8"/>
      <c r="I9" s="8"/>
      <c r="J9" s="6"/>
      <c r="K9" s="9" t="s">
        <v>0</v>
      </c>
      <c r="L9" s="8"/>
      <c r="M9" s="10"/>
      <c r="N9" s="10">
        <f t="shared" si="2"/>
        <v>0</v>
      </c>
    </row>
    <row r="10" spans="1:14" s="11" customFormat="1" ht="21" customHeight="1" x14ac:dyDescent="0.25">
      <c r="A10" s="8"/>
      <c r="B10" s="8"/>
      <c r="C10" s="6"/>
      <c r="D10" s="9" t="s">
        <v>1</v>
      </c>
      <c r="E10" s="8"/>
      <c r="F10" s="10"/>
      <c r="G10" s="10">
        <f t="shared" si="1"/>
        <v>500000</v>
      </c>
      <c r="H10" s="8"/>
      <c r="I10" s="8"/>
      <c r="J10" s="6"/>
      <c r="K10" s="9" t="s">
        <v>0</v>
      </c>
      <c r="L10" s="8"/>
      <c r="M10" s="10"/>
      <c r="N10" s="10">
        <f t="shared" si="2"/>
        <v>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500000</v>
      </c>
      <c r="H11" s="8"/>
      <c r="I11" s="8"/>
      <c r="J11" s="6"/>
      <c r="K11" s="9" t="s">
        <v>0</v>
      </c>
      <c r="L11" s="8"/>
      <c r="M11" s="10"/>
      <c r="N11" s="10">
        <f t="shared" si="2"/>
        <v>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500000</v>
      </c>
      <c r="H12" s="8"/>
      <c r="I12" s="8"/>
      <c r="J12" s="6"/>
      <c r="K12" s="9" t="s">
        <v>0</v>
      </c>
      <c r="L12" s="8"/>
      <c r="M12" s="10"/>
      <c r="N12" s="10">
        <f t="shared" si="2"/>
        <v>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500000</v>
      </c>
      <c r="H13" s="8"/>
      <c r="I13" s="8"/>
      <c r="J13" s="6"/>
      <c r="K13" s="9" t="s">
        <v>0</v>
      </c>
      <c r="L13" s="8"/>
      <c r="M13" s="10"/>
      <c r="N13" s="10">
        <f t="shared" si="2"/>
        <v>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500000</v>
      </c>
      <c r="H14" s="8"/>
      <c r="I14" s="8"/>
      <c r="J14" s="6"/>
      <c r="K14" s="9" t="s">
        <v>0</v>
      </c>
      <c r="L14" s="8"/>
      <c r="M14" s="10"/>
      <c r="N14" s="10">
        <f t="shared" si="2"/>
        <v>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500000</v>
      </c>
      <c r="H15" s="10"/>
      <c r="I15" s="10"/>
      <c r="J15" s="10"/>
      <c r="K15" s="9" t="s">
        <v>0</v>
      </c>
      <c r="L15" s="8"/>
      <c r="M15" s="10"/>
      <c r="N15" s="10">
        <f t="shared" si="2"/>
        <v>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500000</v>
      </c>
      <c r="H16" s="10"/>
      <c r="I16" s="10"/>
      <c r="J16" s="10"/>
      <c r="K16" s="9" t="s">
        <v>0</v>
      </c>
      <c r="L16" s="8"/>
      <c r="M16" s="10"/>
      <c r="N16" s="10">
        <f t="shared" si="2"/>
        <v>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500000</v>
      </c>
      <c r="H17" s="10"/>
      <c r="I17" s="10"/>
      <c r="J17" s="10"/>
      <c r="K17" s="9" t="s">
        <v>0</v>
      </c>
      <c r="L17" s="8"/>
      <c r="M17" s="10"/>
      <c r="N17" s="10">
        <f t="shared" si="2"/>
        <v>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500000</v>
      </c>
      <c r="H18" s="10"/>
      <c r="I18" s="10"/>
      <c r="J18" s="10"/>
      <c r="K18" s="9" t="s">
        <v>0</v>
      </c>
      <c r="L18" s="8"/>
      <c r="M18" s="10"/>
      <c r="N18" s="10">
        <f t="shared" si="2"/>
        <v>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500000</v>
      </c>
      <c r="H19" s="10"/>
      <c r="I19" s="10"/>
      <c r="J19" s="10"/>
      <c r="K19" s="9" t="s">
        <v>0</v>
      </c>
      <c r="L19" s="8"/>
      <c r="M19" s="10"/>
      <c r="N19" s="10">
        <f t="shared" si="2"/>
        <v>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500000</v>
      </c>
      <c r="H20" s="10"/>
      <c r="I20" s="10"/>
      <c r="J20" s="10"/>
      <c r="K20" s="9" t="s">
        <v>0</v>
      </c>
      <c r="L20" s="8"/>
      <c r="M20" s="10"/>
      <c r="N20" s="10">
        <f t="shared" si="2"/>
        <v>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500000</v>
      </c>
      <c r="H21" s="10"/>
      <c r="I21" s="10"/>
      <c r="J21" s="10"/>
      <c r="K21" s="9" t="s">
        <v>0</v>
      </c>
      <c r="L21" s="8"/>
      <c r="M21" s="10"/>
      <c r="N21" s="10">
        <f t="shared" si="2"/>
        <v>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500000</v>
      </c>
      <c r="H22" s="10"/>
      <c r="I22" s="10"/>
      <c r="J22" s="10"/>
      <c r="K22" s="9" t="s">
        <v>0</v>
      </c>
      <c r="L22" s="8"/>
      <c r="M22" s="10"/>
      <c r="N22" s="10">
        <f t="shared" si="2"/>
        <v>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500000</v>
      </c>
      <c r="H23" s="10"/>
      <c r="I23" s="10"/>
      <c r="J23" s="10"/>
      <c r="K23" s="9" t="s">
        <v>0</v>
      </c>
      <c r="L23" s="8"/>
      <c r="M23" s="10"/>
      <c r="N23" s="10">
        <f t="shared" si="2"/>
        <v>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500000</v>
      </c>
      <c r="H24" s="10"/>
      <c r="I24" s="10"/>
      <c r="J24" s="10"/>
      <c r="K24" s="9" t="s">
        <v>0</v>
      </c>
      <c r="L24" s="8"/>
      <c r="M24" s="10"/>
      <c r="N24" s="10">
        <f t="shared" si="2"/>
        <v>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500000</v>
      </c>
      <c r="H25" s="10"/>
      <c r="I25" s="10"/>
      <c r="J25" s="10"/>
      <c r="K25" s="9" t="s">
        <v>0</v>
      </c>
      <c r="L25" s="8"/>
      <c r="M25" s="10"/>
      <c r="N25" s="10">
        <f t="shared" si="2"/>
        <v>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500000</v>
      </c>
      <c r="H26" s="10"/>
      <c r="I26" s="10"/>
      <c r="J26" s="10"/>
      <c r="K26" s="9" t="s">
        <v>0</v>
      </c>
      <c r="L26" s="8"/>
      <c r="M26" s="10"/>
      <c r="N26" s="10">
        <f t="shared" si="2"/>
        <v>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500000</v>
      </c>
      <c r="H27" s="10"/>
      <c r="I27" s="10"/>
      <c r="J27" s="10"/>
      <c r="K27" s="9" t="s">
        <v>0</v>
      </c>
      <c r="L27" s="8"/>
      <c r="M27" s="10"/>
      <c r="N27" s="10">
        <f t="shared" si="2"/>
        <v>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500000</v>
      </c>
      <c r="H28" s="10"/>
      <c r="I28" s="10"/>
      <c r="J28" s="10"/>
      <c r="K28" s="9" t="s">
        <v>0</v>
      </c>
      <c r="L28" s="8"/>
      <c r="M28" s="10"/>
      <c r="N28" s="10">
        <f t="shared" si="2"/>
        <v>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500000</v>
      </c>
      <c r="H29" s="10"/>
      <c r="I29" s="10"/>
      <c r="J29" s="10"/>
      <c r="K29" s="9" t="s">
        <v>0</v>
      </c>
      <c r="L29" s="8"/>
      <c r="M29" s="10"/>
      <c r="N29" s="10">
        <f t="shared" si="2"/>
        <v>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500000</v>
      </c>
      <c r="H30" s="10"/>
      <c r="I30" s="10"/>
      <c r="J30" s="10"/>
      <c r="K30" s="9" t="s">
        <v>0</v>
      </c>
      <c r="L30" s="8"/>
      <c r="M30" s="10"/>
      <c r="N30" s="10">
        <f t="shared" si="2"/>
        <v>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500000</v>
      </c>
      <c r="H31" s="10"/>
      <c r="I31" s="10"/>
      <c r="J31" s="10"/>
      <c r="K31" s="9" t="s">
        <v>0</v>
      </c>
      <c r="L31" s="8"/>
      <c r="M31" s="10"/>
      <c r="N31" s="10">
        <f t="shared" si="2"/>
        <v>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500000</v>
      </c>
      <c r="H32" s="10"/>
      <c r="I32" s="10"/>
      <c r="J32" s="10"/>
      <c r="K32" s="9" t="s">
        <v>0</v>
      </c>
      <c r="L32" s="8"/>
      <c r="M32" s="10"/>
      <c r="N32" s="10">
        <f t="shared" si="2"/>
        <v>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500000</v>
      </c>
      <c r="H33" s="10"/>
      <c r="I33" s="10"/>
      <c r="J33" s="10"/>
      <c r="K33" s="9" t="s">
        <v>0</v>
      </c>
      <c r="L33" s="8"/>
      <c r="M33" s="10"/>
      <c r="N33" s="10">
        <f t="shared" si="2"/>
        <v>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500000</v>
      </c>
      <c r="H34" s="10"/>
      <c r="I34" s="10"/>
      <c r="J34" s="10"/>
      <c r="K34" s="9" t="s">
        <v>0</v>
      </c>
      <c r="L34" s="10"/>
      <c r="M34" s="10"/>
      <c r="N34" s="10">
        <f t="shared" si="2"/>
        <v>0</v>
      </c>
    </row>
    <row r="35" spans="1:14" ht="31.5" customHeight="1" x14ac:dyDescent="0.25">
      <c r="A35" s="46" t="s">
        <v>9</v>
      </c>
      <c r="B35" s="46"/>
      <c r="C35" s="47"/>
      <c r="D35" s="54">
        <f>G34+F34</f>
        <v>500000</v>
      </c>
      <c r="E35" s="54"/>
      <c r="F35" s="54"/>
      <c r="G35" s="54"/>
      <c r="H35" s="48" t="s">
        <v>10</v>
      </c>
      <c r="I35" s="48"/>
      <c r="J35" s="49"/>
      <c r="K35" s="54">
        <f>N34+M34</f>
        <v>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500000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N46"/>
  <sheetViews>
    <sheetView view="pageBreakPreview" topLeftCell="A10" zoomScale="115" zoomScaleNormal="145" zoomScaleSheetLayoutView="115" zoomScalePageLayoutView="85" workbookViewId="0">
      <selection activeCell="M20" sqref="M20:M2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13</v>
      </c>
      <c r="D3" s="58" t="s">
        <v>4</v>
      </c>
      <c r="E3" s="58"/>
      <c r="F3" s="17" t="s">
        <v>3</v>
      </c>
      <c r="G3" s="3">
        <v>45569</v>
      </c>
      <c r="H3" s="57" t="s">
        <v>8</v>
      </c>
      <c r="I3" s="57"/>
      <c r="J3" s="18" t="s">
        <v>13</v>
      </c>
      <c r="K3" s="62" t="s">
        <v>5</v>
      </c>
      <c r="L3" s="62"/>
      <c r="M3" s="17" t="s">
        <v>3</v>
      </c>
      <c r="N3" s="3">
        <v>45569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(3)'!D37</f>
        <v>500000</v>
      </c>
      <c r="G4" s="8" t="s">
        <v>2</v>
      </c>
      <c r="H4" s="10"/>
      <c r="I4" s="10" t="s">
        <v>23</v>
      </c>
      <c r="J4" s="6" t="s">
        <v>39</v>
      </c>
      <c r="K4" s="9" t="s">
        <v>0</v>
      </c>
      <c r="L4" s="10" t="s">
        <v>38</v>
      </c>
      <c r="M4" s="10">
        <v>6900</v>
      </c>
      <c r="N4" s="8" t="s">
        <v>2</v>
      </c>
    </row>
    <row r="5" spans="1:14" s="11" customFormat="1" ht="21" customHeight="1" x14ac:dyDescent="0.25">
      <c r="A5" s="8"/>
      <c r="B5" s="8"/>
      <c r="C5" s="6" t="s">
        <v>14</v>
      </c>
      <c r="D5" s="9" t="s">
        <v>1</v>
      </c>
      <c r="E5" s="8"/>
      <c r="F5" s="10">
        <v>6300</v>
      </c>
      <c r="G5" s="10">
        <f>F4</f>
        <v>500000</v>
      </c>
      <c r="H5" s="8"/>
      <c r="I5" s="10" t="s">
        <v>24</v>
      </c>
      <c r="J5" s="6" t="s">
        <v>40</v>
      </c>
      <c r="K5" s="9" t="s">
        <v>0</v>
      </c>
      <c r="L5" s="10" t="s">
        <v>36</v>
      </c>
      <c r="M5" s="10">
        <v>2640</v>
      </c>
      <c r="N5" s="10">
        <f>M4</f>
        <v>6900</v>
      </c>
    </row>
    <row r="6" spans="1:14" s="11" customFormat="1" ht="21" customHeight="1" x14ac:dyDescent="0.25">
      <c r="A6" s="8"/>
      <c r="B6" s="8"/>
      <c r="C6" s="6" t="s">
        <v>15</v>
      </c>
      <c r="D6" s="9" t="s">
        <v>1</v>
      </c>
      <c r="E6" s="8"/>
      <c r="F6" s="10">
        <v>90</v>
      </c>
      <c r="G6" s="10">
        <f>G5+F5</f>
        <v>506300</v>
      </c>
      <c r="H6" s="8"/>
      <c r="I6" s="10" t="s">
        <v>25</v>
      </c>
      <c r="J6" s="6" t="s">
        <v>41</v>
      </c>
      <c r="K6" s="9" t="s">
        <v>0</v>
      </c>
      <c r="L6" s="10" t="s">
        <v>34</v>
      </c>
      <c r="M6" s="10">
        <v>3640</v>
      </c>
      <c r="N6" s="10">
        <f t="shared" ref="N6" si="0">N5+M5</f>
        <v>9540</v>
      </c>
    </row>
    <row r="7" spans="1:14" s="11" customFormat="1" ht="21" customHeight="1" x14ac:dyDescent="0.25">
      <c r="A7" s="8"/>
      <c r="B7" s="8"/>
      <c r="C7" s="6" t="s">
        <v>16</v>
      </c>
      <c r="D7" s="9" t="s">
        <v>1</v>
      </c>
      <c r="E7" s="8"/>
      <c r="F7" s="10">
        <v>90</v>
      </c>
      <c r="G7" s="10">
        <f t="shared" ref="G7:G33" si="1">G6+F6</f>
        <v>506390</v>
      </c>
      <c r="H7" s="8"/>
      <c r="I7" s="10" t="s">
        <v>26</v>
      </c>
      <c r="J7" s="6" t="s">
        <v>42</v>
      </c>
      <c r="K7" s="9" t="s">
        <v>0</v>
      </c>
      <c r="L7" s="10" t="s">
        <v>58</v>
      </c>
      <c r="M7" s="10">
        <v>20510</v>
      </c>
      <c r="N7" s="10">
        <f>N6+M6</f>
        <v>13180</v>
      </c>
    </row>
    <row r="8" spans="1:14" s="11" customFormat="1" ht="21" customHeight="1" x14ac:dyDescent="0.25">
      <c r="A8" s="19" t="s">
        <v>0</v>
      </c>
      <c r="B8" s="8" t="s">
        <v>20</v>
      </c>
      <c r="C8" s="6" t="s">
        <v>17</v>
      </c>
      <c r="D8" s="9" t="s">
        <v>1</v>
      </c>
      <c r="E8" s="8"/>
      <c r="F8" s="10">
        <v>6900</v>
      </c>
      <c r="G8" s="10">
        <f t="shared" si="1"/>
        <v>506480</v>
      </c>
      <c r="H8" s="8"/>
      <c r="I8" s="10" t="s">
        <v>27</v>
      </c>
      <c r="J8" s="6" t="s">
        <v>43</v>
      </c>
      <c r="K8" s="9" t="s">
        <v>0</v>
      </c>
      <c r="L8" s="10" t="s">
        <v>59</v>
      </c>
      <c r="M8" s="10">
        <v>24310</v>
      </c>
      <c r="N8" s="10">
        <f t="shared" ref="N8:N34" si="2">N7+M7</f>
        <v>33690</v>
      </c>
    </row>
    <row r="9" spans="1:14" s="11" customFormat="1" ht="21" customHeight="1" x14ac:dyDescent="0.25">
      <c r="A9" s="19" t="s">
        <v>0</v>
      </c>
      <c r="B9" s="8" t="s">
        <v>21</v>
      </c>
      <c r="C9" s="6" t="s">
        <v>18</v>
      </c>
      <c r="D9" s="9" t="s">
        <v>1</v>
      </c>
      <c r="E9" s="8">
        <v>12</v>
      </c>
      <c r="F9" s="10">
        <v>3640</v>
      </c>
      <c r="G9" s="10">
        <f t="shared" si="1"/>
        <v>513380</v>
      </c>
      <c r="H9" s="8"/>
      <c r="I9" s="10" t="s">
        <v>28</v>
      </c>
      <c r="J9" s="6" t="s">
        <v>44</v>
      </c>
      <c r="K9" s="9" t="s">
        <v>0</v>
      </c>
      <c r="L9" s="10" t="s">
        <v>35</v>
      </c>
      <c r="M9" s="10">
        <v>1100</v>
      </c>
      <c r="N9" s="10">
        <f t="shared" si="2"/>
        <v>58000</v>
      </c>
    </row>
    <row r="10" spans="1:14" s="11" customFormat="1" ht="21" customHeight="1" x14ac:dyDescent="0.25">
      <c r="A10" s="19" t="s">
        <v>0</v>
      </c>
      <c r="B10" s="8" t="s">
        <v>22</v>
      </c>
      <c r="C10" s="6" t="s">
        <v>19</v>
      </c>
      <c r="D10" s="9" t="s">
        <v>1</v>
      </c>
      <c r="E10" s="8">
        <v>8</v>
      </c>
      <c r="F10" s="10">
        <v>13430</v>
      </c>
      <c r="G10" s="10">
        <f t="shared" si="1"/>
        <v>517020</v>
      </c>
      <c r="H10" s="8"/>
      <c r="I10" s="10" t="s">
        <v>29</v>
      </c>
      <c r="J10" s="6" t="s">
        <v>45</v>
      </c>
      <c r="K10" s="9" t="s">
        <v>0</v>
      </c>
      <c r="L10" s="10" t="s">
        <v>60</v>
      </c>
      <c r="M10" s="10">
        <v>18920</v>
      </c>
      <c r="N10" s="10">
        <f t="shared" si="2"/>
        <v>59100</v>
      </c>
    </row>
    <row r="11" spans="1:14" s="11" customFormat="1" ht="21" customHeight="1" x14ac:dyDescent="0.25">
      <c r="A11" s="8"/>
      <c r="B11" s="8"/>
      <c r="C11" s="6"/>
      <c r="D11" s="9" t="s">
        <v>1</v>
      </c>
      <c r="E11" s="8"/>
      <c r="F11" s="10"/>
      <c r="G11" s="10">
        <f t="shared" si="1"/>
        <v>530450</v>
      </c>
      <c r="H11" s="8"/>
      <c r="I11" s="10" t="s">
        <v>30</v>
      </c>
      <c r="J11" s="6" t="s">
        <v>46</v>
      </c>
      <c r="K11" s="9" t="s">
        <v>0</v>
      </c>
      <c r="L11" s="10" t="s">
        <v>61</v>
      </c>
      <c r="M11" s="10">
        <v>24720</v>
      </c>
      <c r="N11" s="10">
        <f t="shared" si="2"/>
        <v>78020</v>
      </c>
    </row>
    <row r="12" spans="1:14" s="11" customFormat="1" ht="21" customHeight="1" x14ac:dyDescent="0.25">
      <c r="A12" s="8"/>
      <c r="B12" s="8"/>
      <c r="C12" s="6"/>
      <c r="D12" s="9" t="s">
        <v>1</v>
      </c>
      <c r="E12" s="8"/>
      <c r="F12" s="10"/>
      <c r="G12" s="10">
        <f t="shared" si="1"/>
        <v>530450</v>
      </c>
      <c r="H12" s="8"/>
      <c r="I12" s="10" t="s">
        <v>31</v>
      </c>
      <c r="J12" s="6" t="s">
        <v>47</v>
      </c>
      <c r="K12" s="9" t="s">
        <v>0</v>
      </c>
      <c r="L12" s="10" t="s">
        <v>62</v>
      </c>
      <c r="M12" s="10">
        <v>1750</v>
      </c>
      <c r="N12" s="10">
        <f t="shared" si="2"/>
        <v>102740</v>
      </c>
    </row>
    <row r="13" spans="1:14" s="11" customFormat="1" ht="21" customHeight="1" x14ac:dyDescent="0.25">
      <c r="A13" s="8"/>
      <c r="B13" s="8"/>
      <c r="C13" s="6"/>
      <c r="D13" s="9" t="s">
        <v>1</v>
      </c>
      <c r="E13" s="8"/>
      <c r="F13" s="10"/>
      <c r="G13" s="10">
        <f t="shared" si="1"/>
        <v>530450</v>
      </c>
      <c r="H13" s="8"/>
      <c r="I13" s="20" t="s">
        <v>32</v>
      </c>
      <c r="J13" s="6" t="s">
        <v>48</v>
      </c>
      <c r="K13" s="9" t="s">
        <v>0</v>
      </c>
      <c r="L13" s="10" t="s">
        <v>63</v>
      </c>
      <c r="M13" s="10">
        <v>4890</v>
      </c>
      <c r="N13" s="10">
        <f t="shared" si="2"/>
        <v>104490</v>
      </c>
    </row>
    <row r="14" spans="1:14" s="11" customFormat="1" ht="21" customHeight="1" x14ac:dyDescent="0.25">
      <c r="A14" s="8"/>
      <c r="B14" s="8"/>
      <c r="C14" s="6"/>
      <c r="D14" s="9" t="s">
        <v>1</v>
      </c>
      <c r="E14" s="8"/>
      <c r="F14" s="10"/>
      <c r="G14" s="10">
        <f t="shared" si="1"/>
        <v>530450</v>
      </c>
      <c r="H14" s="8"/>
      <c r="I14" s="20" t="s">
        <v>33</v>
      </c>
      <c r="J14" s="6" t="s">
        <v>49</v>
      </c>
      <c r="K14" s="9" t="s">
        <v>0</v>
      </c>
      <c r="L14" s="10" t="s">
        <v>64</v>
      </c>
      <c r="M14" s="10">
        <v>19280</v>
      </c>
      <c r="N14" s="10">
        <f t="shared" si="2"/>
        <v>109380</v>
      </c>
    </row>
    <row r="15" spans="1:14" s="11" customFormat="1" ht="21" customHeight="1" x14ac:dyDescent="0.25">
      <c r="A15" s="10"/>
      <c r="B15" s="10"/>
      <c r="C15" s="10"/>
      <c r="D15" s="9" t="s">
        <v>1</v>
      </c>
      <c r="E15" s="8"/>
      <c r="F15" s="10"/>
      <c r="G15" s="10">
        <f t="shared" si="1"/>
        <v>530450</v>
      </c>
      <c r="H15" s="10"/>
      <c r="I15" s="20" t="s">
        <v>34</v>
      </c>
      <c r="J15" s="6" t="s">
        <v>19</v>
      </c>
      <c r="K15" s="9" t="s">
        <v>0</v>
      </c>
      <c r="L15" s="10" t="s">
        <v>65</v>
      </c>
      <c r="M15" s="10">
        <v>13430</v>
      </c>
      <c r="N15" s="10">
        <f t="shared" si="2"/>
        <v>128660</v>
      </c>
    </row>
    <row r="16" spans="1:14" s="11" customFormat="1" ht="21" customHeight="1" x14ac:dyDescent="0.25">
      <c r="A16" s="10"/>
      <c r="B16" s="10"/>
      <c r="C16" s="10"/>
      <c r="D16" s="9" t="s">
        <v>1</v>
      </c>
      <c r="E16" s="8"/>
      <c r="F16" s="10"/>
      <c r="G16" s="10">
        <f t="shared" si="1"/>
        <v>530450</v>
      </c>
      <c r="H16" s="10"/>
      <c r="I16" s="20" t="s">
        <v>35</v>
      </c>
      <c r="J16" s="6" t="s">
        <v>50</v>
      </c>
      <c r="K16" s="9" t="s">
        <v>0</v>
      </c>
      <c r="L16" s="10" t="s">
        <v>66</v>
      </c>
      <c r="M16" s="10">
        <v>2780</v>
      </c>
      <c r="N16" s="10">
        <f t="shared" si="2"/>
        <v>142090</v>
      </c>
    </row>
    <row r="17" spans="1:14" s="11" customFormat="1" ht="21" customHeight="1" x14ac:dyDescent="0.25">
      <c r="A17" s="10"/>
      <c r="B17" s="10"/>
      <c r="C17" s="10"/>
      <c r="D17" s="9" t="s">
        <v>1</v>
      </c>
      <c r="E17" s="8"/>
      <c r="F17" s="10"/>
      <c r="G17" s="10">
        <f t="shared" si="1"/>
        <v>530450</v>
      </c>
      <c r="H17" s="10"/>
      <c r="I17" s="20" t="s">
        <v>36</v>
      </c>
      <c r="J17" s="6" t="s">
        <v>51</v>
      </c>
      <c r="K17" s="9" t="s">
        <v>0</v>
      </c>
      <c r="L17" s="10" t="s">
        <v>32</v>
      </c>
      <c r="M17" s="10">
        <v>2160</v>
      </c>
      <c r="N17" s="10">
        <f t="shared" si="2"/>
        <v>144870</v>
      </c>
    </row>
    <row r="18" spans="1:14" s="11" customFormat="1" ht="21" customHeight="1" x14ac:dyDescent="0.25">
      <c r="A18" s="10"/>
      <c r="B18" s="10"/>
      <c r="C18" s="10"/>
      <c r="D18" s="9" t="s">
        <v>1</v>
      </c>
      <c r="E18" s="8"/>
      <c r="F18" s="10"/>
      <c r="G18" s="10">
        <f t="shared" si="1"/>
        <v>530450</v>
      </c>
      <c r="H18" s="10"/>
      <c r="I18" s="20" t="s">
        <v>37</v>
      </c>
      <c r="J18" s="6" t="s">
        <v>52</v>
      </c>
      <c r="K18" s="9" t="s">
        <v>0</v>
      </c>
      <c r="L18" s="10" t="s">
        <v>33</v>
      </c>
      <c r="M18" s="10">
        <v>6610</v>
      </c>
      <c r="N18" s="10">
        <f t="shared" si="2"/>
        <v>147030</v>
      </c>
    </row>
    <row r="19" spans="1:14" s="11" customFormat="1" ht="21" customHeight="1" x14ac:dyDescent="0.25">
      <c r="A19" s="10"/>
      <c r="B19" s="10"/>
      <c r="C19" s="10"/>
      <c r="D19" s="9" t="s">
        <v>1</v>
      </c>
      <c r="E19" s="8"/>
      <c r="F19" s="10"/>
      <c r="G19" s="10">
        <f t="shared" si="1"/>
        <v>530450</v>
      </c>
      <c r="H19" s="10"/>
      <c r="I19" s="20" t="s">
        <v>38</v>
      </c>
      <c r="J19" s="6" t="s">
        <v>53</v>
      </c>
      <c r="K19" s="9" t="s">
        <v>0</v>
      </c>
      <c r="L19" s="10" t="s">
        <v>37</v>
      </c>
      <c r="M19" s="10">
        <v>3310</v>
      </c>
      <c r="N19" s="10">
        <f t="shared" si="2"/>
        <v>153640</v>
      </c>
    </row>
    <row r="20" spans="1:14" s="11" customFormat="1" ht="21" customHeight="1" x14ac:dyDescent="0.25">
      <c r="A20" s="10"/>
      <c r="B20" s="10"/>
      <c r="C20" s="10"/>
      <c r="D20" s="9" t="s">
        <v>1</v>
      </c>
      <c r="E20" s="8"/>
      <c r="F20" s="10"/>
      <c r="G20" s="10">
        <f t="shared" si="1"/>
        <v>530450</v>
      </c>
      <c r="H20" s="10"/>
      <c r="I20" s="20"/>
      <c r="J20" s="6" t="s">
        <v>54</v>
      </c>
      <c r="K20" s="9" t="s">
        <v>0</v>
      </c>
      <c r="L20" s="8"/>
      <c r="M20" s="10">
        <v>450</v>
      </c>
      <c r="N20" s="10">
        <f t="shared" si="2"/>
        <v>156950</v>
      </c>
    </row>
    <row r="21" spans="1:14" s="11" customFormat="1" ht="21" customHeight="1" x14ac:dyDescent="0.25">
      <c r="A21" s="10"/>
      <c r="B21" s="10"/>
      <c r="C21" s="10"/>
      <c r="D21" s="9" t="s">
        <v>1</v>
      </c>
      <c r="E21" s="8"/>
      <c r="F21" s="10"/>
      <c r="G21" s="10">
        <f t="shared" si="1"/>
        <v>530450</v>
      </c>
      <c r="H21" s="10"/>
      <c r="I21" s="20"/>
      <c r="J21" s="6" t="s">
        <v>55</v>
      </c>
      <c r="K21" s="9" t="s">
        <v>0</v>
      </c>
      <c r="L21" s="8"/>
      <c r="M21" s="10">
        <v>200</v>
      </c>
      <c r="N21" s="10">
        <f t="shared" si="2"/>
        <v>157400</v>
      </c>
    </row>
    <row r="22" spans="1:14" s="11" customFormat="1" ht="21" customHeight="1" x14ac:dyDescent="0.25">
      <c r="A22" s="10"/>
      <c r="B22" s="10"/>
      <c r="C22" s="10"/>
      <c r="D22" s="9" t="s">
        <v>1</v>
      </c>
      <c r="E22" s="8"/>
      <c r="F22" s="10"/>
      <c r="G22" s="10">
        <f t="shared" si="1"/>
        <v>530450</v>
      </c>
      <c r="H22" s="10"/>
      <c r="I22" s="20"/>
      <c r="J22" s="6" t="s">
        <v>56</v>
      </c>
      <c r="K22" s="9" t="s">
        <v>0</v>
      </c>
      <c r="L22" s="8"/>
      <c r="M22" s="10">
        <v>50</v>
      </c>
      <c r="N22" s="10">
        <f t="shared" si="2"/>
        <v>157600</v>
      </c>
    </row>
    <row r="23" spans="1:14" s="11" customFormat="1" ht="21" customHeight="1" x14ac:dyDescent="0.25">
      <c r="A23" s="10"/>
      <c r="B23" s="10"/>
      <c r="C23" s="10"/>
      <c r="D23" s="9" t="s">
        <v>1</v>
      </c>
      <c r="E23" s="8"/>
      <c r="F23" s="10"/>
      <c r="G23" s="10">
        <f t="shared" si="1"/>
        <v>530450</v>
      </c>
      <c r="H23" s="10"/>
      <c r="I23" s="20"/>
      <c r="J23" s="6" t="s">
        <v>57</v>
      </c>
      <c r="K23" s="9" t="s">
        <v>0</v>
      </c>
      <c r="L23" s="8"/>
      <c r="M23" s="10">
        <v>950</v>
      </c>
      <c r="N23" s="10">
        <f t="shared" si="2"/>
        <v>157650</v>
      </c>
    </row>
    <row r="24" spans="1:14" s="11" customFormat="1" ht="21" customHeight="1" x14ac:dyDescent="0.25">
      <c r="A24" s="10"/>
      <c r="B24" s="10"/>
      <c r="C24" s="10"/>
      <c r="D24" s="9" t="s">
        <v>1</v>
      </c>
      <c r="E24" s="8"/>
      <c r="F24" s="10"/>
      <c r="G24" s="10">
        <f t="shared" si="1"/>
        <v>530450</v>
      </c>
      <c r="H24" s="10"/>
      <c r="I24" s="10"/>
      <c r="J24" s="10"/>
      <c r="K24" s="9" t="s">
        <v>0</v>
      </c>
      <c r="L24" s="8"/>
      <c r="M24" s="10"/>
      <c r="N24" s="10">
        <f t="shared" si="2"/>
        <v>158600</v>
      </c>
    </row>
    <row r="25" spans="1:14" s="11" customFormat="1" ht="21" customHeight="1" x14ac:dyDescent="0.25">
      <c r="A25" s="10"/>
      <c r="B25" s="10"/>
      <c r="C25" s="10"/>
      <c r="D25" s="9" t="s">
        <v>1</v>
      </c>
      <c r="E25" s="8"/>
      <c r="F25" s="10"/>
      <c r="G25" s="10">
        <f t="shared" si="1"/>
        <v>530450</v>
      </c>
      <c r="H25" s="10"/>
      <c r="I25" s="10"/>
      <c r="J25" s="10"/>
      <c r="K25" s="9" t="s">
        <v>0</v>
      </c>
      <c r="L25" s="8"/>
      <c r="M25" s="10"/>
      <c r="N25" s="10">
        <f t="shared" si="2"/>
        <v>158600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530450</v>
      </c>
      <c r="H26" s="10"/>
      <c r="I26" s="10"/>
      <c r="J26" s="10"/>
      <c r="K26" s="9" t="s">
        <v>0</v>
      </c>
      <c r="L26" s="8"/>
      <c r="M26" s="10"/>
      <c r="N26" s="10">
        <f t="shared" si="2"/>
        <v>158600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530450</v>
      </c>
      <c r="H27" s="10"/>
      <c r="I27" s="10"/>
      <c r="J27" s="10"/>
      <c r="K27" s="9" t="s">
        <v>0</v>
      </c>
      <c r="L27" s="8"/>
      <c r="M27" s="10"/>
      <c r="N27" s="10">
        <f t="shared" si="2"/>
        <v>158600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530450</v>
      </c>
      <c r="H28" s="10"/>
      <c r="I28" s="10"/>
      <c r="J28" s="10"/>
      <c r="K28" s="9" t="s">
        <v>0</v>
      </c>
      <c r="L28" s="8"/>
      <c r="M28" s="10"/>
      <c r="N28" s="10">
        <f t="shared" si="2"/>
        <v>158600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530450</v>
      </c>
      <c r="H29" s="10"/>
      <c r="I29" s="10"/>
      <c r="J29" s="10"/>
      <c r="K29" s="9" t="s">
        <v>0</v>
      </c>
      <c r="L29" s="8"/>
      <c r="M29" s="10"/>
      <c r="N29" s="10">
        <f t="shared" si="2"/>
        <v>158600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530450</v>
      </c>
      <c r="H30" s="10"/>
      <c r="I30" s="10"/>
      <c r="J30" s="10"/>
      <c r="K30" s="9" t="s">
        <v>0</v>
      </c>
      <c r="L30" s="8"/>
      <c r="M30" s="10"/>
      <c r="N30" s="10">
        <f t="shared" si="2"/>
        <v>158600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530450</v>
      </c>
      <c r="H31" s="10"/>
      <c r="I31" s="10"/>
      <c r="J31" s="10"/>
      <c r="K31" s="9" t="s">
        <v>0</v>
      </c>
      <c r="L31" s="8"/>
      <c r="M31" s="10"/>
      <c r="N31" s="10">
        <f t="shared" si="2"/>
        <v>158600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530450</v>
      </c>
      <c r="H32" s="10"/>
      <c r="I32" s="10"/>
      <c r="J32" s="10"/>
      <c r="K32" s="9" t="s">
        <v>0</v>
      </c>
      <c r="L32" s="8"/>
      <c r="M32" s="10"/>
      <c r="N32" s="10">
        <f t="shared" si="2"/>
        <v>158600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530450</v>
      </c>
      <c r="H33" s="10"/>
      <c r="I33" s="10"/>
      <c r="J33" s="10"/>
      <c r="K33" s="9" t="s">
        <v>0</v>
      </c>
      <c r="L33" s="8"/>
      <c r="M33" s="10"/>
      <c r="N33" s="10">
        <f t="shared" si="2"/>
        <v>158600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530450</v>
      </c>
      <c r="H34" s="10"/>
      <c r="I34" s="10"/>
      <c r="J34" s="10"/>
      <c r="K34" s="9" t="s">
        <v>0</v>
      </c>
      <c r="L34" s="10"/>
      <c r="M34" s="10"/>
      <c r="N34" s="10">
        <f t="shared" si="2"/>
        <v>158600</v>
      </c>
    </row>
    <row r="35" spans="1:14" ht="31.5" customHeight="1" x14ac:dyDescent="0.25">
      <c r="A35" s="46" t="s">
        <v>9</v>
      </c>
      <c r="B35" s="46"/>
      <c r="C35" s="47"/>
      <c r="D35" s="54">
        <f>G34+F34</f>
        <v>530450</v>
      </c>
      <c r="E35" s="54"/>
      <c r="F35" s="54"/>
      <c r="G35" s="54"/>
      <c r="H35" s="48" t="s">
        <v>10</v>
      </c>
      <c r="I35" s="48"/>
      <c r="J35" s="49"/>
      <c r="K35" s="54">
        <f>N34+M34</f>
        <v>158600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158600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371850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honeticPr fontId="21" type="noConversion"/>
  <pageMargins left="0.33088235294117646" right="0" top="0.25" bottom="0" header="0.05" footer="0.0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N46"/>
  <sheetViews>
    <sheetView view="pageBreakPreview" topLeftCell="A4" zoomScale="115" zoomScaleNormal="145" zoomScaleSheetLayoutView="115" zoomScalePageLayoutView="85" workbookViewId="0">
      <selection activeCell="J22" sqref="J22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67</v>
      </c>
      <c r="D3" s="58" t="s">
        <v>4</v>
      </c>
      <c r="E3" s="58"/>
      <c r="F3" s="17" t="s">
        <v>3</v>
      </c>
      <c r="G3" s="3">
        <v>45570</v>
      </c>
      <c r="H3" s="57" t="s">
        <v>8</v>
      </c>
      <c r="I3" s="57"/>
      <c r="J3" s="18" t="s">
        <v>67</v>
      </c>
      <c r="K3" s="62" t="s">
        <v>5</v>
      </c>
      <c r="L3" s="62"/>
      <c r="M3" s="17" t="s">
        <v>3</v>
      </c>
      <c r="N3" s="3">
        <v>45570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(4)'!D37</f>
        <v>371850</v>
      </c>
      <c r="G4" s="8" t="s">
        <v>2</v>
      </c>
      <c r="H4" s="10"/>
      <c r="I4" s="10"/>
      <c r="J4" s="6" t="s">
        <v>54</v>
      </c>
      <c r="K4" s="9" t="s">
        <v>0</v>
      </c>
      <c r="L4" s="10"/>
      <c r="M4" s="10">
        <v>300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3380</v>
      </c>
      <c r="G5" s="10">
        <f>F4</f>
        <v>371850</v>
      </c>
      <c r="H5" s="8"/>
      <c r="I5" s="8"/>
      <c r="J5" s="6" t="s">
        <v>76</v>
      </c>
      <c r="K5" s="9" t="s">
        <v>0</v>
      </c>
      <c r="L5" s="8"/>
      <c r="M5" s="10">
        <v>400</v>
      </c>
      <c r="N5" s="10">
        <f>M4</f>
        <v>300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60</v>
      </c>
      <c r="G6" s="10">
        <f>G5+F5</f>
        <v>375230</v>
      </c>
      <c r="H6" s="8"/>
      <c r="I6" s="8" t="s">
        <v>113</v>
      </c>
      <c r="J6" s="6" t="s">
        <v>80</v>
      </c>
      <c r="K6" s="9" t="s">
        <v>0</v>
      </c>
      <c r="L6" s="8"/>
      <c r="M6" s="10">
        <v>9510</v>
      </c>
      <c r="N6" s="10">
        <f t="shared" ref="N6" si="0">N5+M5</f>
        <v>700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50</v>
      </c>
      <c r="G7" s="10">
        <f t="shared" ref="G7:G33" si="1">G6+F6</f>
        <v>375290</v>
      </c>
      <c r="H7" s="8"/>
      <c r="I7" s="8" t="s">
        <v>114</v>
      </c>
      <c r="J7" s="6" t="s">
        <v>81</v>
      </c>
      <c r="K7" s="9" t="s">
        <v>0</v>
      </c>
      <c r="L7" s="8"/>
      <c r="M7" s="10">
        <v>28100</v>
      </c>
      <c r="N7" s="10">
        <f>N6+M6</f>
        <v>10210</v>
      </c>
    </row>
    <row r="8" spans="1:14" s="11" customFormat="1" ht="21" customHeight="1" x14ac:dyDescent="0.25">
      <c r="A8" s="8"/>
      <c r="B8" s="8"/>
      <c r="C8" s="6" t="s">
        <v>68</v>
      </c>
      <c r="D8" s="9" t="s">
        <v>1</v>
      </c>
      <c r="E8" s="8"/>
      <c r="F8" s="10">
        <v>750</v>
      </c>
      <c r="G8" s="10">
        <f t="shared" si="1"/>
        <v>375340</v>
      </c>
      <c r="H8" s="8"/>
      <c r="I8" s="8" t="s">
        <v>115</v>
      </c>
      <c r="J8" s="6" t="s">
        <v>47</v>
      </c>
      <c r="K8" s="9" t="s">
        <v>0</v>
      </c>
      <c r="L8" s="8"/>
      <c r="M8" s="10">
        <v>7840</v>
      </c>
      <c r="N8" s="10">
        <f t="shared" ref="N8:N34" si="2">N7+M7</f>
        <v>38310</v>
      </c>
    </row>
    <row r="9" spans="1:14" s="11" customFormat="1" ht="21" customHeight="1" x14ac:dyDescent="0.25">
      <c r="A9" s="8"/>
      <c r="B9" s="8"/>
      <c r="C9" s="6" t="s">
        <v>69</v>
      </c>
      <c r="D9" s="9" t="s">
        <v>1</v>
      </c>
      <c r="E9" s="8"/>
      <c r="F9" s="10">
        <v>19280</v>
      </c>
      <c r="G9" s="10">
        <f t="shared" si="1"/>
        <v>376090</v>
      </c>
      <c r="H9" s="8"/>
      <c r="I9" s="8" t="s">
        <v>116</v>
      </c>
      <c r="J9" s="6" t="s">
        <v>82</v>
      </c>
      <c r="K9" s="9" t="s">
        <v>0</v>
      </c>
      <c r="L9" s="8"/>
      <c r="M9" s="10">
        <v>750</v>
      </c>
      <c r="N9" s="10">
        <f t="shared" si="2"/>
        <v>46150</v>
      </c>
    </row>
    <row r="10" spans="1:14" s="11" customFormat="1" ht="21" customHeight="1" x14ac:dyDescent="0.25">
      <c r="A10" s="8"/>
      <c r="B10" s="8"/>
      <c r="C10" s="6" t="s">
        <v>70</v>
      </c>
      <c r="D10" s="9" t="s">
        <v>1</v>
      </c>
      <c r="E10" s="8"/>
      <c r="F10" s="10">
        <v>2780</v>
      </c>
      <c r="G10" s="10">
        <f t="shared" si="1"/>
        <v>395370</v>
      </c>
      <c r="H10" s="8"/>
      <c r="I10" s="8" t="s">
        <v>117</v>
      </c>
      <c r="J10" s="6" t="s">
        <v>18</v>
      </c>
      <c r="K10" s="9" t="s">
        <v>0</v>
      </c>
      <c r="L10" s="8"/>
      <c r="M10" s="10">
        <v>2700</v>
      </c>
      <c r="N10" s="10">
        <f t="shared" si="2"/>
        <v>46900</v>
      </c>
    </row>
    <row r="11" spans="1:14" s="11" customFormat="1" ht="21" customHeight="1" x14ac:dyDescent="0.25">
      <c r="A11" s="8"/>
      <c r="B11" s="8"/>
      <c r="C11" s="6" t="s">
        <v>71</v>
      </c>
      <c r="D11" s="9" t="s">
        <v>1</v>
      </c>
      <c r="E11" s="8"/>
      <c r="F11" s="10">
        <v>6610</v>
      </c>
      <c r="G11" s="10">
        <f t="shared" si="1"/>
        <v>398150</v>
      </c>
      <c r="H11" s="8"/>
      <c r="I11" s="8" t="s">
        <v>118</v>
      </c>
      <c r="J11" s="6" t="s">
        <v>83</v>
      </c>
      <c r="K11" s="9" t="s">
        <v>0</v>
      </c>
      <c r="L11" s="8"/>
      <c r="M11" s="10">
        <v>1390</v>
      </c>
      <c r="N11" s="10">
        <f t="shared" si="2"/>
        <v>49600</v>
      </c>
    </row>
    <row r="12" spans="1:14" s="11" customFormat="1" ht="21" customHeight="1" x14ac:dyDescent="0.25">
      <c r="A12" s="8"/>
      <c r="B12" s="8"/>
      <c r="C12" s="6" t="s">
        <v>72</v>
      </c>
      <c r="D12" s="9" t="s">
        <v>1</v>
      </c>
      <c r="E12" s="8"/>
      <c r="F12" s="10">
        <v>2640</v>
      </c>
      <c r="G12" s="10">
        <f t="shared" si="1"/>
        <v>404760</v>
      </c>
      <c r="H12" s="8"/>
      <c r="I12" s="8" t="s">
        <v>119</v>
      </c>
      <c r="J12" s="6" t="s">
        <v>84</v>
      </c>
      <c r="K12" s="9" t="s">
        <v>0</v>
      </c>
      <c r="L12" s="8"/>
      <c r="M12" s="10">
        <v>5240</v>
      </c>
      <c r="N12" s="10">
        <f t="shared" si="2"/>
        <v>50990</v>
      </c>
    </row>
    <row r="13" spans="1:14" s="11" customFormat="1" ht="21" customHeight="1" x14ac:dyDescent="0.25">
      <c r="A13" s="8"/>
      <c r="B13" s="8"/>
      <c r="C13" s="6" t="s">
        <v>73</v>
      </c>
      <c r="D13" s="9" t="s">
        <v>1</v>
      </c>
      <c r="E13" s="8"/>
      <c r="F13" s="10">
        <v>4890</v>
      </c>
      <c r="G13" s="10">
        <f t="shared" si="1"/>
        <v>407400</v>
      </c>
      <c r="H13" s="8"/>
      <c r="I13" s="8" t="s">
        <v>120</v>
      </c>
      <c r="J13" s="6" t="s">
        <v>85</v>
      </c>
      <c r="K13" s="9" t="s">
        <v>0</v>
      </c>
      <c r="L13" s="8"/>
      <c r="M13" s="10">
        <v>1450</v>
      </c>
      <c r="N13" s="10">
        <f t="shared" si="2"/>
        <v>56230</v>
      </c>
    </row>
    <row r="14" spans="1:14" s="11" customFormat="1" ht="21" customHeight="1" x14ac:dyDescent="0.25">
      <c r="A14" s="8"/>
      <c r="B14" s="8"/>
      <c r="C14" s="6" t="s">
        <v>74</v>
      </c>
      <c r="D14" s="9" t="s">
        <v>1</v>
      </c>
      <c r="E14" s="8"/>
      <c r="F14" s="10">
        <v>3310</v>
      </c>
      <c r="G14" s="10">
        <f t="shared" si="1"/>
        <v>412290</v>
      </c>
      <c r="H14" s="8"/>
      <c r="I14" s="8" t="s">
        <v>121</v>
      </c>
      <c r="J14" s="6" t="s">
        <v>86</v>
      </c>
      <c r="K14" s="9" t="s">
        <v>0</v>
      </c>
      <c r="L14" s="8"/>
      <c r="M14" s="10">
        <v>15540</v>
      </c>
      <c r="N14" s="10">
        <f t="shared" si="2"/>
        <v>57680</v>
      </c>
    </row>
    <row r="15" spans="1:14" s="11" customFormat="1" ht="21" customHeight="1" x14ac:dyDescent="0.25">
      <c r="A15" s="10"/>
      <c r="B15" s="10"/>
      <c r="C15" s="6" t="s">
        <v>75</v>
      </c>
      <c r="D15" s="9" t="s">
        <v>1</v>
      </c>
      <c r="E15" s="8"/>
      <c r="F15" s="10">
        <v>10000</v>
      </c>
      <c r="G15" s="10">
        <f t="shared" si="1"/>
        <v>415600</v>
      </c>
      <c r="H15" s="10"/>
      <c r="I15" s="8" t="s">
        <v>122</v>
      </c>
      <c r="J15" s="6" t="s">
        <v>19</v>
      </c>
      <c r="K15" s="9" t="s">
        <v>0</v>
      </c>
      <c r="L15" s="8"/>
      <c r="M15" s="10">
        <v>10280</v>
      </c>
      <c r="N15" s="10">
        <f t="shared" si="2"/>
        <v>73220</v>
      </c>
    </row>
    <row r="16" spans="1:14" s="11" customFormat="1" ht="18" customHeight="1" x14ac:dyDescent="0.25">
      <c r="A16" s="10"/>
      <c r="B16" s="10"/>
      <c r="C16" s="6"/>
      <c r="D16" s="21" t="s">
        <v>1</v>
      </c>
      <c r="E16" s="8"/>
      <c r="F16" s="10"/>
      <c r="G16" s="10">
        <f t="shared" si="1"/>
        <v>425600</v>
      </c>
      <c r="H16" s="10"/>
      <c r="I16" s="8" t="s">
        <v>123</v>
      </c>
      <c r="J16" s="6" t="s">
        <v>87</v>
      </c>
      <c r="K16" s="9" t="s">
        <v>0</v>
      </c>
      <c r="L16" s="8"/>
      <c r="M16" s="10">
        <v>1900</v>
      </c>
      <c r="N16" s="10">
        <f t="shared" si="2"/>
        <v>83500</v>
      </c>
    </row>
    <row r="17" spans="1:14" s="11" customFormat="1" ht="18" customHeight="1" x14ac:dyDescent="0.25">
      <c r="A17" s="10"/>
      <c r="B17" s="10"/>
      <c r="C17" s="10"/>
      <c r="D17" s="21" t="s">
        <v>1</v>
      </c>
      <c r="E17" s="8"/>
      <c r="F17" s="10"/>
      <c r="G17" s="22">
        <f t="shared" si="1"/>
        <v>425600</v>
      </c>
      <c r="H17" s="10"/>
      <c r="I17" s="10"/>
      <c r="J17" s="6"/>
      <c r="K17" s="21" t="s">
        <v>0</v>
      </c>
      <c r="L17" s="8"/>
      <c r="M17" s="10"/>
      <c r="N17" s="10">
        <f t="shared" si="2"/>
        <v>85400</v>
      </c>
    </row>
    <row r="18" spans="1:14" s="11" customFormat="1" ht="18" customHeight="1" x14ac:dyDescent="0.25">
      <c r="A18" s="10"/>
      <c r="B18" s="10"/>
      <c r="C18" s="10"/>
      <c r="D18" s="21" t="s">
        <v>1</v>
      </c>
      <c r="E18" s="8"/>
      <c r="F18" s="10"/>
      <c r="G18" s="22">
        <f t="shared" si="1"/>
        <v>425600</v>
      </c>
      <c r="H18" s="10"/>
      <c r="I18" s="10"/>
      <c r="J18" s="6"/>
      <c r="K18" s="21" t="s">
        <v>0</v>
      </c>
      <c r="L18" s="8"/>
      <c r="M18" s="10"/>
      <c r="N18" s="22">
        <f t="shared" si="2"/>
        <v>85400</v>
      </c>
    </row>
    <row r="19" spans="1:14" s="11" customFormat="1" ht="18" customHeight="1" x14ac:dyDescent="0.25">
      <c r="A19" s="10"/>
      <c r="B19" s="10"/>
      <c r="C19" s="10"/>
      <c r="D19" s="21" t="s">
        <v>1</v>
      </c>
      <c r="E19" s="8"/>
      <c r="F19" s="10"/>
      <c r="G19" s="22">
        <f t="shared" si="1"/>
        <v>425600</v>
      </c>
      <c r="H19" s="10"/>
      <c r="I19" s="10"/>
      <c r="J19" s="6"/>
      <c r="K19" s="21" t="s">
        <v>0</v>
      </c>
      <c r="L19" s="8"/>
      <c r="M19" s="10"/>
      <c r="N19" s="22">
        <f t="shared" si="2"/>
        <v>85400</v>
      </c>
    </row>
    <row r="20" spans="1:14" s="11" customFormat="1" ht="18" customHeight="1" x14ac:dyDescent="0.25">
      <c r="A20" s="10"/>
      <c r="B20" s="10"/>
      <c r="C20" s="10"/>
      <c r="D20" s="21" t="s">
        <v>1</v>
      </c>
      <c r="E20" s="8"/>
      <c r="F20" s="10"/>
      <c r="G20" s="22">
        <f t="shared" si="1"/>
        <v>425600</v>
      </c>
      <c r="H20" s="10"/>
      <c r="I20" s="10"/>
      <c r="J20" s="6"/>
      <c r="K20" s="21" t="s">
        <v>0</v>
      </c>
      <c r="L20" s="8"/>
      <c r="M20" s="10"/>
      <c r="N20" s="22">
        <f t="shared" si="2"/>
        <v>85400</v>
      </c>
    </row>
    <row r="21" spans="1:14" s="11" customFormat="1" ht="18" customHeight="1" x14ac:dyDescent="0.25">
      <c r="A21" s="10"/>
      <c r="B21" s="10"/>
      <c r="C21" s="10"/>
      <c r="D21" s="21" t="s">
        <v>1</v>
      </c>
      <c r="E21" s="8"/>
      <c r="F21" s="10"/>
      <c r="G21" s="22">
        <f t="shared" si="1"/>
        <v>425600</v>
      </c>
      <c r="H21" s="10"/>
      <c r="I21" s="10"/>
      <c r="J21" s="6"/>
      <c r="K21" s="21" t="s">
        <v>0</v>
      </c>
      <c r="L21" s="8"/>
      <c r="M21" s="10"/>
      <c r="N21" s="22">
        <f t="shared" si="2"/>
        <v>85400</v>
      </c>
    </row>
    <row r="22" spans="1:14" s="11" customFormat="1" ht="18" customHeight="1" x14ac:dyDescent="0.25">
      <c r="A22" s="10"/>
      <c r="B22" s="10"/>
      <c r="C22" s="10"/>
      <c r="D22" s="21" t="s">
        <v>1</v>
      </c>
      <c r="E22" s="8"/>
      <c r="F22" s="10"/>
      <c r="G22" s="22">
        <f t="shared" si="1"/>
        <v>425600</v>
      </c>
      <c r="H22" s="10"/>
      <c r="I22" s="10"/>
      <c r="J22" s="6"/>
      <c r="K22" s="21" t="s">
        <v>0</v>
      </c>
      <c r="L22" s="8"/>
      <c r="M22" s="10"/>
      <c r="N22" s="22">
        <f t="shared" si="2"/>
        <v>85400</v>
      </c>
    </row>
    <row r="23" spans="1:14" s="11" customFormat="1" ht="18" customHeight="1" x14ac:dyDescent="0.25">
      <c r="A23" s="10"/>
      <c r="B23" s="10"/>
      <c r="C23" s="10"/>
      <c r="D23" s="21" t="s">
        <v>1</v>
      </c>
      <c r="E23" s="8"/>
      <c r="F23" s="10"/>
      <c r="G23" s="22">
        <f t="shared" si="1"/>
        <v>425600</v>
      </c>
      <c r="H23" s="10"/>
      <c r="I23" s="10"/>
      <c r="J23" s="6" t="s">
        <v>88</v>
      </c>
      <c r="K23" s="21" t="s">
        <v>0</v>
      </c>
      <c r="L23" s="8"/>
      <c r="M23" s="10"/>
      <c r="N23" s="22">
        <f t="shared" si="2"/>
        <v>85400</v>
      </c>
    </row>
    <row r="24" spans="1:14" s="11" customFormat="1" ht="18" customHeight="1" x14ac:dyDescent="0.25">
      <c r="A24" s="10"/>
      <c r="B24" s="10"/>
      <c r="C24" s="10"/>
      <c r="D24" s="21" t="s">
        <v>1</v>
      </c>
      <c r="E24" s="8"/>
      <c r="F24" s="10"/>
      <c r="G24" s="22">
        <f t="shared" si="1"/>
        <v>425600</v>
      </c>
      <c r="H24" s="10"/>
      <c r="I24" s="10"/>
      <c r="J24" s="23" t="s">
        <v>89</v>
      </c>
      <c r="K24" s="21" t="s">
        <v>0</v>
      </c>
      <c r="L24" s="8"/>
      <c r="M24" s="10"/>
      <c r="N24" s="22">
        <f t="shared" si="2"/>
        <v>85400</v>
      </c>
    </row>
    <row r="25" spans="1:14" s="11" customFormat="1" ht="18" customHeight="1" x14ac:dyDescent="0.25">
      <c r="A25" s="10"/>
      <c r="B25" s="10"/>
      <c r="C25" s="10"/>
      <c r="D25" s="21" t="s">
        <v>1</v>
      </c>
      <c r="E25" s="8"/>
      <c r="F25" s="10"/>
      <c r="G25" s="22">
        <f t="shared" si="1"/>
        <v>425600</v>
      </c>
      <c r="H25" s="10"/>
      <c r="I25" s="10"/>
      <c r="J25" s="6" t="s">
        <v>90</v>
      </c>
      <c r="K25" s="21" t="s">
        <v>0</v>
      </c>
      <c r="L25" s="8"/>
      <c r="M25" s="10"/>
      <c r="N25" s="22">
        <f t="shared" si="2"/>
        <v>85400</v>
      </c>
    </row>
    <row r="26" spans="1:14" s="11" customFormat="1" ht="18" customHeight="1" x14ac:dyDescent="0.25">
      <c r="A26" s="10"/>
      <c r="B26" s="10"/>
      <c r="C26" s="10"/>
      <c r="D26" s="21" t="s">
        <v>1</v>
      </c>
      <c r="E26" s="8"/>
      <c r="F26" s="10"/>
      <c r="G26" s="22">
        <f t="shared" si="1"/>
        <v>425600</v>
      </c>
      <c r="H26" s="10"/>
      <c r="I26" s="10"/>
      <c r="J26" s="10"/>
      <c r="K26" s="21" t="s">
        <v>0</v>
      </c>
      <c r="L26" s="8"/>
      <c r="M26" s="10"/>
      <c r="N26" s="22">
        <f t="shared" si="2"/>
        <v>85400</v>
      </c>
    </row>
    <row r="27" spans="1:14" s="11" customFormat="1" ht="18" customHeight="1" x14ac:dyDescent="0.25">
      <c r="A27" s="10"/>
      <c r="B27" s="10"/>
      <c r="C27" s="10"/>
      <c r="D27" s="21" t="s">
        <v>1</v>
      </c>
      <c r="E27" s="8"/>
      <c r="F27" s="10"/>
      <c r="G27" s="22">
        <f t="shared" si="1"/>
        <v>425600</v>
      </c>
      <c r="H27" s="10"/>
      <c r="I27" s="10"/>
      <c r="J27" s="10"/>
      <c r="K27" s="21" t="s">
        <v>0</v>
      </c>
      <c r="L27" s="8"/>
      <c r="M27" s="10"/>
      <c r="N27" s="22">
        <f t="shared" si="2"/>
        <v>85400</v>
      </c>
    </row>
    <row r="28" spans="1:14" s="11" customFormat="1" ht="18" customHeight="1" x14ac:dyDescent="0.25">
      <c r="A28" s="10"/>
      <c r="B28" s="10"/>
      <c r="C28" s="10"/>
      <c r="D28" s="21" t="s">
        <v>1</v>
      </c>
      <c r="E28" s="8"/>
      <c r="F28" s="10"/>
      <c r="G28" s="22">
        <f t="shared" si="1"/>
        <v>425600</v>
      </c>
      <c r="H28" s="10"/>
      <c r="I28" s="10"/>
      <c r="J28" s="10"/>
      <c r="K28" s="21" t="s">
        <v>0</v>
      </c>
      <c r="L28" s="8"/>
      <c r="M28" s="10"/>
      <c r="N28" s="22">
        <f t="shared" si="2"/>
        <v>85400</v>
      </c>
    </row>
    <row r="29" spans="1:14" s="11" customFormat="1" ht="18" customHeight="1" x14ac:dyDescent="0.25">
      <c r="A29" s="10"/>
      <c r="B29" s="10"/>
      <c r="C29" s="10"/>
      <c r="D29" s="21" t="s">
        <v>1</v>
      </c>
      <c r="E29" s="8"/>
      <c r="F29" s="10"/>
      <c r="G29" s="22">
        <f t="shared" si="1"/>
        <v>425600</v>
      </c>
      <c r="H29" s="10"/>
      <c r="I29" s="10"/>
      <c r="J29" s="10"/>
      <c r="K29" s="21" t="s">
        <v>0</v>
      </c>
      <c r="L29" s="8"/>
      <c r="M29" s="10"/>
      <c r="N29" s="22">
        <f t="shared" si="2"/>
        <v>85400</v>
      </c>
    </row>
    <row r="30" spans="1:14" s="11" customFormat="1" ht="18" customHeight="1" x14ac:dyDescent="0.25">
      <c r="A30" s="10"/>
      <c r="B30" s="10"/>
      <c r="C30" s="10"/>
      <c r="D30" s="21" t="s">
        <v>1</v>
      </c>
      <c r="E30" s="8"/>
      <c r="F30" s="10"/>
      <c r="G30" s="22">
        <f t="shared" si="1"/>
        <v>425600</v>
      </c>
      <c r="H30" s="10"/>
      <c r="I30" s="10"/>
      <c r="J30" s="10"/>
      <c r="K30" s="21" t="s">
        <v>0</v>
      </c>
      <c r="L30" s="8"/>
      <c r="M30" s="10"/>
      <c r="N30" s="22">
        <f t="shared" si="2"/>
        <v>85400</v>
      </c>
    </row>
    <row r="31" spans="1:14" s="11" customFormat="1" ht="18" customHeight="1" x14ac:dyDescent="0.25">
      <c r="A31" s="10"/>
      <c r="B31" s="10"/>
      <c r="C31" s="10"/>
      <c r="D31" s="21" t="s">
        <v>1</v>
      </c>
      <c r="E31" s="8"/>
      <c r="F31" s="10"/>
      <c r="G31" s="22">
        <f t="shared" si="1"/>
        <v>425600</v>
      </c>
      <c r="H31" s="10"/>
      <c r="I31" s="10"/>
      <c r="J31" s="10"/>
      <c r="K31" s="21" t="s">
        <v>0</v>
      </c>
      <c r="L31" s="8"/>
      <c r="M31" s="10"/>
      <c r="N31" s="22">
        <f t="shared" si="2"/>
        <v>85400</v>
      </c>
    </row>
    <row r="32" spans="1:14" s="11" customFormat="1" ht="18" customHeight="1" x14ac:dyDescent="0.25">
      <c r="A32" s="10"/>
      <c r="B32" s="10"/>
      <c r="C32" s="10"/>
      <c r="D32" s="21" t="s">
        <v>1</v>
      </c>
      <c r="E32" s="8"/>
      <c r="F32" s="10"/>
      <c r="G32" s="22">
        <f t="shared" si="1"/>
        <v>425600</v>
      </c>
      <c r="H32" s="10"/>
      <c r="I32" s="10"/>
      <c r="J32" s="10"/>
      <c r="K32" s="21" t="s">
        <v>0</v>
      </c>
      <c r="L32" s="8"/>
      <c r="M32" s="10"/>
      <c r="N32" s="22">
        <f t="shared" si="2"/>
        <v>85400</v>
      </c>
    </row>
    <row r="33" spans="1:14" s="11" customFormat="1" ht="18" customHeight="1" x14ac:dyDescent="0.25">
      <c r="A33" s="10"/>
      <c r="B33" s="10"/>
      <c r="C33" s="10"/>
      <c r="D33" s="21" t="s">
        <v>1</v>
      </c>
      <c r="E33" s="8"/>
      <c r="F33" s="10"/>
      <c r="G33" s="22">
        <f t="shared" si="1"/>
        <v>425600</v>
      </c>
      <c r="H33" s="10"/>
      <c r="I33" s="10"/>
      <c r="J33" s="10"/>
      <c r="K33" s="21" t="s">
        <v>0</v>
      </c>
      <c r="L33" s="8"/>
      <c r="M33" s="10"/>
      <c r="N33" s="22">
        <f t="shared" si="2"/>
        <v>85400</v>
      </c>
    </row>
    <row r="34" spans="1:14" s="11" customFormat="1" ht="18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425600</v>
      </c>
      <c r="H34" s="10"/>
      <c r="I34" s="10"/>
      <c r="J34" s="10"/>
      <c r="K34" s="21" t="s">
        <v>0</v>
      </c>
      <c r="L34" s="10"/>
      <c r="M34" s="10"/>
      <c r="N34" s="22">
        <f t="shared" si="2"/>
        <v>85400</v>
      </c>
    </row>
    <row r="35" spans="1:14" ht="31.5" customHeight="1" x14ac:dyDescent="0.25">
      <c r="A35" s="46" t="s">
        <v>9</v>
      </c>
      <c r="B35" s="46"/>
      <c r="C35" s="47"/>
      <c r="D35" s="54">
        <f>G34+F34</f>
        <v>425600</v>
      </c>
      <c r="E35" s="54"/>
      <c r="F35" s="54"/>
      <c r="G35" s="54"/>
      <c r="H35" s="48" t="s">
        <v>10</v>
      </c>
      <c r="I35" s="48"/>
      <c r="J35" s="49"/>
      <c r="K35" s="54">
        <f>N34+M34</f>
        <v>85400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85400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340200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honeticPr fontId="21" type="noConversion"/>
  <pageMargins left="0.33088235294117646" right="0" top="0.25" bottom="0" header="0.05" footer="0.05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N46"/>
  <sheetViews>
    <sheetView view="pageBreakPreview" topLeftCell="C10" zoomScale="115" zoomScaleNormal="145" zoomScaleSheetLayoutView="115" zoomScalePageLayoutView="85" workbookViewId="0">
      <selection activeCell="J27" sqref="J27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145</v>
      </c>
      <c r="D3" s="58" t="s">
        <v>4</v>
      </c>
      <c r="E3" s="58"/>
      <c r="F3" s="17" t="s">
        <v>3</v>
      </c>
      <c r="G3" s="3">
        <v>45571</v>
      </c>
      <c r="H3" s="57" t="s">
        <v>8</v>
      </c>
      <c r="I3" s="57"/>
      <c r="J3" s="18" t="s">
        <v>145</v>
      </c>
      <c r="K3" s="62" t="s">
        <v>5</v>
      </c>
      <c r="L3" s="62"/>
      <c r="M3" s="17" t="s">
        <v>3</v>
      </c>
      <c r="N3" s="3">
        <v>45571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(5)'!D37</f>
        <v>340200</v>
      </c>
      <c r="G4" s="8" t="s">
        <v>2</v>
      </c>
      <c r="H4" s="10"/>
      <c r="I4" s="10"/>
      <c r="J4" s="6" t="s">
        <v>100</v>
      </c>
      <c r="K4" s="9" t="s">
        <v>0</v>
      </c>
      <c r="L4" s="10"/>
      <c r="M4" s="10">
        <v>550</v>
      </c>
      <c r="N4" s="8" t="s">
        <v>2</v>
      </c>
    </row>
    <row r="5" spans="1:14" s="11" customFormat="1" ht="19.5" customHeight="1" x14ac:dyDescent="0.25">
      <c r="A5" s="8"/>
      <c r="B5" s="8"/>
      <c r="C5" s="6" t="s">
        <v>77</v>
      </c>
      <c r="D5" s="9" t="s">
        <v>1</v>
      </c>
      <c r="E5" s="8"/>
      <c r="F5" s="10">
        <v>7990</v>
      </c>
      <c r="G5" s="10">
        <f>F4</f>
        <v>340200</v>
      </c>
      <c r="H5" s="8"/>
      <c r="I5" s="8"/>
      <c r="J5" s="6" t="s">
        <v>54</v>
      </c>
      <c r="K5" s="9" t="s">
        <v>0</v>
      </c>
      <c r="L5" s="8"/>
      <c r="M5" s="10">
        <v>500</v>
      </c>
      <c r="N5" s="10">
        <f>M4</f>
        <v>550</v>
      </c>
    </row>
    <row r="6" spans="1:14" s="11" customFormat="1" ht="19.5" customHeight="1" x14ac:dyDescent="0.25">
      <c r="A6" s="8"/>
      <c r="B6" s="8"/>
      <c r="C6" s="6" t="s">
        <v>78</v>
      </c>
      <c r="D6" s="9" t="s">
        <v>1</v>
      </c>
      <c r="E6" s="8"/>
      <c r="F6" s="10">
        <v>70</v>
      </c>
      <c r="G6" s="10">
        <f>G5+F5</f>
        <v>348190</v>
      </c>
      <c r="H6" s="8"/>
      <c r="I6" s="8"/>
      <c r="J6" s="6" t="s">
        <v>101</v>
      </c>
      <c r="K6" s="9" t="s">
        <v>0</v>
      </c>
      <c r="L6" s="8"/>
      <c r="M6" s="10">
        <v>250</v>
      </c>
      <c r="N6" s="10">
        <f t="shared" ref="N6" si="0">N5+M5</f>
        <v>1050</v>
      </c>
    </row>
    <row r="7" spans="1:14" s="11" customFormat="1" ht="19.5" customHeight="1" x14ac:dyDescent="0.25">
      <c r="A7" s="8"/>
      <c r="B7" s="8"/>
      <c r="C7" s="6" t="s">
        <v>79</v>
      </c>
      <c r="D7" s="9" t="s">
        <v>1</v>
      </c>
      <c r="E7" s="8"/>
      <c r="F7" s="10">
        <v>70</v>
      </c>
      <c r="G7" s="10">
        <f t="shared" ref="G7:G33" si="1">G6+F6</f>
        <v>348260</v>
      </c>
      <c r="H7" s="8"/>
      <c r="I7" s="8"/>
      <c r="J7" s="6" t="s">
        <v>102</v>
      </c>
      <c r="K7" s="9" t="s">
        <v>0</v>
      </c>
      <c r="L7" s="8"/>
      <c r="M7" s="10">
        <v>170</v>
      </c>
      <c r="N7" s="10">
        <f>N6+M6</f>
        <v>1300</v>
      </c>
    </row>
    <row r="8" spans="1:14" s="11" customFormat="1" ht="19.5" customHeight="1" x14ac:dyDescent="0.25">
      <c r="A8" s="8"/>
      <c r="B8" s="8"/>
      <c r="C8" s="6" t="s">
        <v>91</v>
      </c>
      <c r="D8" s="9" t="s">
        <v>1</v>
      </c>
      <c r="E8" s="8"/>
      <c r="F8" s="10">
        <v>2160</v>
      </c>
      <c r="G8" s="10">
        <f t="shared" si="1"/>
        <v>348330</v>
      </c>
      <c r="H8" s="8"/>
      <c r="I8" s="8" t="s">
        <v>146</v>
      </c>
      <c r="J8" s="6" t="s">
        <v>42</v>
      </c>
      <c r="K8" s="9" t="s">
        <v>0</v>
      </c>
      <c r="L8" s="8" t="s">
        <v>124</v>
      </c>
      <c r="M8" s="10">
        <v>36620</v>
      </c>
      <c r="N8" s="10">
        <f t="shared" ref="N8:N34" si="2">N7+M7</f>
        <v>1470</v>
      </c>
    </row>
    <row r="9" spans="1:14" s="11" customFormat="1" ht="19.5" customHeight="1" x14ac:dyDescent="0.25">
      <c r="A9" s="8"/>
      <c r="B9" s="8"/>
      <c r="C9" s="6" t="s">
        <v>92</v>
      </c>
      <c r="D9" s="9" t="s">
        <v>1</v>
      </c>
      <c r="E9" s="8"/>
      <c r="F9" s="10">
        <v>2700</v>
      </c>
      <c r="G9" s="10">
        <f t="shared" si="1"/>
        <v>350490</v>
      </c>
      <c r="H9" s="8"/>
      <c r="I9" s="8" t="s">
        <v>147</v>
      </c>
      <c r="J9" s="6" t="s">
        <v>46</v>
      </c>
      <c r="K9" s="9" t="s">
        <v>0</v>
      </c>
      <c r="L9" s="8" t="s">
        <v>129</v>
      </c>
      <c r="M9" s="10">
        <v>6610</v>
      </c>
      <c r="N9" s="10">
        <f t="shared" si="2"/>
        <v>38090</v>
      </c>
    </row>
    <row r="10" spans="1:14" s="11" customFormat="1" ht="19.5" customHeight="1" x14ac:dyDescent="0.25">
      <c r="A10" s="8"/>
      <c r="B10" s="8"/>
      <c r="C10" s="6" t="s">
        <v>93</v>
      </c>
      <c r="D10" s="9" t="s">
        <v>1</v>
      </c>
      <c r="E10" s="8"/>
      <c r="F10" s="10">
        <v>15540</v>
      </c>
      <c r="G10" s="10">
        <f t="shared" si="1"/>
        <v>353190</v>
      </c>
      <c r="H10" s="8"/>
      <c r="I10" s="8" t="s">
        <v>148</v>
      </c>
      <c r="J10" s="6" t="s">
        <v>103</v>
      </c>
      <c r="K10" s="9" t="s">
        <v>0</v>
      </c>
      <c r="L10" s="8" t="s">
        <v>125</v>
      </c>
      <c r="M10" s="10">
        <v>16710</v>
      </c>
      <c r="N10" s="10">
        <f t="shared" si="2"/>
        <v>44700</v>
      </c>
    </row>
    <row r="11" spans="1:14" s="11" customFormat="1" ht="19.5" customHeight="1" x14ac:dyDescent="0.25">
      <c r="A11" s="8"/>
      <c r="B11" s="8"/>
      <c r="C11" s="6" t="s">
        <v>94</v>
      </c>
      <c r="D11" s="9" t="s">
        <v>1</v>
      </c>
      <c r="E11" s="8"/>
      <c r="F11" s="10">
        <v>10280</v>
      </c>
      <c r="G11" s="10">
        <f t="shared" si="1"/>
        <v>368730</v>
      </c>
      <c r="H11" s="8"/>
      <c r="I11" s="8" t="s">
        <v>149</v>
      </c>
      <c r="J11" s="6" t="s">
        <v>104</v>
      </c>
      <c r="K11" s="9" t="s">
        <v>0</v>
      </c>
      <c r="L11" s="8" t="s">
        <v>143</v>
      </c>
      <c r="M11" s="10">
        <v>1120</v>
      </c>
      <c r="N11" s="10">
        <f t="shared" si="2"/>
        <v>61410</v>
      </c>
    </row>
    <row r="12" spans="1:14" s="11" customFormat="1" ht="19.5" customHeight="1" x14ac:dyDescent="0.25">
      <c r="A12" s="8"/>
      <c r="B12" s="8"/>
      <c r="C12" s="6" t="s">
        <v>95</v>
      </c>
      <c r="D12" s="9" t="s">
        <v>1</v>
      </c>
      <c r="E12" s="8"/>
      <c r="F12" s="10">
        <v>1900</v>
      </c>
      <c r="G12" s="10">
        <f t="shared" si="1"/>
        <v>379010</v>
      </c>
      <c r="H12" s="8"/>
      <c r="I12" s="8" t="s">
        <v>150</v>
      </c>
      <c r="J12" s="6" t="s">
        <v>83</v>
      </c>
      <c r="K12" s="9" t="s">
        <v>0</v>
      </c>
      <c r="L12" s="8" t="s">
        <v>142</v>
      </c>
      <c r="M12" s="10">
        <v>3330</v>
      </c>
      <c r="N12" s="10">
        <f t="shared" si="2"/>
        <v>62530</v>
      </c>
    </row>
    <row r="13" spans="1:14" s="11" customFormat="1" ht="19.5" customHeight="1" x14ac:dyDescent="0.25">
      <c r="A13" s="8"/>
      <c r="B13" s="8"/>
      <c r="C13" s="6" t="s">
        <v>96</v>
      </c>
      <c r="D13" s="9" t="s">
        <v>1</v>
      </c>
      <c r="E13" s="8"/>
      <c r="F13" s="10">
        <v>5240</v>
      </c>
      <c r="G13" s="10">
        <f t="shared" si="1"/>
        <v>380910</v>
      </c>
      <c r="H13" s="8"/>
      <c r="I13" s="8" t="s">
        <v>151</v>
      </c>
      <c r="J13" s="6" t="s">
        <v>105</v>
      </c>
      <c r="K13" s="9" t="s">
        <v>0</v>
      </c>
      <c r="L13" s="8" t="s">
        <v>141</v>
      </c>
      <c r="M13" s="10">
        <v>3080</v>
      </c>
      <c r="N13" s="10">
        <f t="shared" si="2"/>
        <v>65860</v>
      </c>
    </row>
    <row r="14" spans="1:14" s="11" customFormat="1" ht="19.5" customHeight="1" x14ac:dyDescent="0.25">
      <c r="A14" s="8"/>
      <c r="B14" s="8"/>
      <c r="C14" s="6" t="s">
        <v>97</v>
      </c>
      <c r="D14" s="9" t="s">
        <v>1</v>
      </c>
      <c r="E14" s="8"/>
      <c r="F14" s="10">
        <v>14720</v>
      </c>
      <c r="G14" s="10">
        <f t="shared" si="1"/>
        <v>386150</v>
      </c>
      <c r="H14" s="8"/>
      <c r="I14" s="8" t="s">
        <v>152</v>
      </c>
      <c r="J14" s="6" t="s">
        <v>106</v>
      </c>
      <c r="K14" s="9" t="s">
        <v>0</v>
      </c>
      <c r="L14" s="8" t="s">
        <v>140</v>
      </c>
      <c r="M14" s="10">
        <v>3080</v>
      </c>
      <c r="N14" s="10">
        <f t="shared" si="2"/>
        <v>68940</v>
      </c>
    </row>
    <row r="15" spans="1:14" s="11" customFormat="1" ht="19.5" customHeight="1" x14ac:dyDescent="0.25">
      <c r="A15" s="10"/>
      <c r="B15" s="10"/>
      <c r="C15" s="6" t="s">
        <v>98</v>
      </c>
      <c r="D15" s="9" t="s">
        <v>1</v>
      </c>
      <c r="E15" s="8"/>
      <c r="F15" s="10">
        <v>5690</v>
      </c>
      <c r="G15" s="10">
        <f t="shared" si="1"/>
        <v>400870</v>
      </c>
      <c r="H15" s="10"/>
      <c r="I15" s="8" t="s">
        <v>153</v>
      </c>
      <c r="J15" s="6" t="s">
        <v>87</v>
      </c>
      <c r="K15" s="9" t="s">
        <v>0</v>
      </c>
      <c r="L15" s="8" t="s">
        <v>139</v>
      </c>
      <c r="M15" s="10">
        <v>4050</v>
      </c>
      <c r="N15" s="10">
        <f t="shared" si="2"/>
        <v>72020</v>
      </c>
    </row>
    <row r="16" spans="1:14" s="11" customFormat="1" ht="19.5" customHeight="1" x14ac:dyDescent="0.25">
      <c r="A16" s="10"/>
      <c r="B16" s="10"/>
      <c r="C16" s="6" t="s">
        <v>99</v>
      </c>
      <c r="D16" s="9" t="s">
        <v>1</v>
      </c>
      <c r="E16" s="8"/>
      <c r="F16" s="10">
        <v>1390</v>
      </c>
      <c r="G16" s="10">
        <f t="shared" si="1"/>
        <v>406560</v>
      </c>
      <c r="H16" s="10"/>
      <c r="I16" s="8" t="s">
        <v>154</v>
      </c>
      <c r="J16" s="6" t="s">
        <v>50</v>
      </c>
      <c r="K16" s="9" t="s">
        <v>0</v>
      </c>
      <c r="L16" s="8" t="s">
        <v>138</v>
      </c>
      <c r="M16" s="10">
        <v>3240</v>
      </c>
      <c r="N16" s="10">
        <f t="shared" si="2"/>
        <v>76070</v>
      </c>
    </row>
    <row r="17" spans="1:14" s="11" customFormat="1" ht="19.5" customHeight="1" x14ac:dyDescent="0.25">
      <c r="A17" s="10"/>
      <c r="B17" s="10"/>
      <c r="C17" s="10"/>
      <c r="D17" s="21" t="s">
        <v>1</v>
      </c>
      <c r="E17" s="8"/>
      <c r="F17" s="10"/>
      <c r="G17" s="10">
        <f t="shared" si="1"/>
        <v>407950</v>
      </c>
      <c r="H17" s="10"/>
      <c r="I17" s="8" t="s">
        <v>155</v>
      </c>
      <c r="J17" s="6" t="s">
        <v>107</v>
      </c>
      <c r="K17" s="9" t="s">
        <v>0</v>
      </c>
      <c r="L17" s="8" t="s">
        <v>137</v>
      </c>
      <c r="M17" s="10">
        <v>1290</v>
      </c>
      <c r="N17" s="10">
        <f t="shared" si="2"/>
        <v>79310</v>
      </c>
    </row>
    <row r="18" spans="1:14" s="11" customFormat="1" ht="19.5" customHeight="1" x14ac:dyDescent="0.25">
      <c r="A18" s="10"/>
      <c r="B18" s="10"/>
      <c r="C18" s="10"/>
      <c r="D18" s="21" t="s">
        <v>1</v>
      </c>
      <c r="E18" s="8"/>
      <c r="F18" s="10"/>
      <c r="G18" s="22">
        <f t="shared" si="1"/>
        <v>407950</v>
      </c>
      <c r="H18" s="10"/>
      <c r="I18" s="8" t="s">
        <v>156</v>
      </c>
      <c r="J18" s="6" t="s">
        <v>51</v>
      </c>
      <c r="K18" s="9" t="s">
        <v>0</v>
      </c>
      <c r="L18" s="8" t="s">
        <v>136</v>
      </c>
      <c r="M18" s="10">
        <v>2360</v>
      </c>
      <c r="N18" s="10">
        <f t="shared" si="2"/>
        <v>80600</v>
      </c>
    </row>
    <row r="19" spans="1:14" s="11" customFormat="1" ht="19.5" customHeight="1" x14ac:dyDescent="0.25">
      <c r="A19" s="10"/>
      <c r="B19" s="10"/>
      <c r="C19" s="10"/>
      <c r="D19" s="21" t="s">
        <v>1</v>
      </c>
      <c r="E19" s="8"/>
      <c r="F19" s="10"/>
      <c r="G19" s="22">
        <f t="shared" si="1"/>
        <v>407950</v>
      </c>
      <c r="H19" s="10"/>
      <c r="I19" s="8" t="s">
        <v>157</v>
      </c>
      <c r="J19" s="6" t="s">
        <v>108</v>
      </c>
      <c r="K19" s="9" t="s">
        <v>0</v>
      </c>
      <c r="L19" s="8" t="s">
        <v>135</v>
      </c>
      <c r="M19" s="10">
        <v>2200</v>
      </c>
      <c r="N19" s="10">
        <f t="shared" si="2"/>
        <v>82960</v>
      </c>
    </row>
    <row r="20" spans="1:14" s="11" customFormat="1" ht="19.5" customHeight="1" x14ac:dyDescent="0.25">
      <c r="A20" s="10"/>
      <c r="B20" s="10"/>
      <c r="C20" s="10"/>
      <c r="D20" s="21" t="s">
        <v>1</v>
      </c>
      <c r="E20" s="8"/>
      <c r="F20" s="10"/>
      <c r="G20" s="22">
        <f t="shared" si="1"/>
        <v>407950</v>
      </c>
      <c r="H20" s="10"/>
      <c r="I20" s="8" t="s">
        <v>158</v>
      </c>
      <c r="J20" s="6" t="s">
        <v>104</v>
      </c>
      <c r="K20" s="9" t="s">
        <v>0</v>
      </c>
      <c r="L20" s="8" t="s">
        <v>134</v>
      </c>
      <c r="M20" s="10">
        <v>4440</v>
      </c>
      <c r="N20" s="10">
        <f t="shared" si="2"/>
        <v>85160</v>
      </c>
    </row>
    <row r="21" spans="1:14" s="11" customFormat="1" ht="19.5" customHeight="1" x14ac:dyDescent="0.25">
      <c r="A21" s="10"/>
      <c r="B21" s="10"/>
      <c r="C21" s="10"/>
      <c r="D21" s="21" t="s">
        <v>1</v>
      </c>
      <c r="E21" s="8"/>
      <c r="F21" s="10"/>
      <c r="G21" s="22">
        <f t="shared" si="1"/>
        <v>407950</v>
      </c>
      <c r="H21" s="10"/>
      <c r="I21" s="8" t="s">
        <v>159</v>
      </c>
      <c r="J21" s="6" t="s">
        <v>109</v>
      </c>
      <c r="K21" s="9" t="s">
        <v>0</v>
      </c>
      <c r="L21" s="8" t="s">
        <v>133</v>
      </c>
      <c r="M21" s="10">
        <v>1880</v>
      </c>
      <c r="N21" s="10">
        <f t="shared" si="2"/>
        <v>89600</v>
      </c>
    </row>
    <row r="22" spans="1:14" s="11" customFormat="1" ht="19.5" customHeight="1" x14ac:dyDescent="0.25">
      <c r="A22" s="10"/>
      <c r="B22" s="10"/>
      <c r="C22" s="10"/>
      <c r="D22" s="21" t="s">
        <v>1</v>
      </c>
      <c r="E22" s="8"/>
      <c r="F22" s="10"/>
      <c r="G22" s="22">
        <f t="shared" si="1"/>
        <v>407950</v>
      </c>
      <c r="H22" s="10"/>
      <c r="I22" s="8" t="s">
        <v>160</v>
      </c>
      <c r="J22" s="6" t="s">
        <v>18</v>
      </c>
      <c r="K22" s="9" t="s">
        <v>0</v>
      </c>
      <c r="L22" s="8" t="s">
        <v>132</v>
      </c>
      <c r="M22" s="10">
        <v>1600</v>
      </c>
      <c r="N22" s="10">
        <f t="shared" si="2"/>
        <v>91480</v>
      </c>
    </row>
    <row r="23" spans="1:14" s="11" customFormat="1" ht="19.5" customHeight="1" x14ac:dyDescent="0.25">
      <c r="A23" s="10"/>
      <c r="B23" s="10"/>
      <c r="C23" s="10"/>
      <c r="D23" s="21" t="s">
        <v>1</v>
      </c>
      <c r="E23" s="8"/>
      <c r="F23" s="10"/>
      <c r="G23" s="22">
        <f t="shared" si="1"/>
        <v>407950</v>
      </c>
      <c r="H23" s="10"/>
      <c r="I23" s="8" t="s">
        <v>161</v>
      </c>
      <c r="J23" s="6" t="s">
        <v>110</v>
      </c>
      <c r="K23" s="9" t="s">
        <v>0</v>
      </c>
      <c r="L23" s="8" t="s">
        <v>131</v>
      </c>
      <c r="M23" s="10">
        <v>5690</v>
      </c>
      <c r="N23" s="10">
        <f t="shared" si="2"/>
        <v>93080</v>
      </c>
    </row>
    <row r="24" spans="1:14" s="11" customFormat="1" ht="19.5" customHeight="1" x14ac:dyDescent="0.25">
      <c r="A24" s="10"/>
      <c r="B24" s="10"/>
      <c r="C24" s="10"/>
      <c r="D24" s="21" t="s">
        <v>1</v>
      </c>
      <c r="E24" s="8"/>
      <c r="F24" s="10"/>
      <c r="G24" s="22">
        <f t="shared" si="1"/>
        <v>407950</v>
      </c>
      <c r="H24" s="10"/>
      <c r="I24" s="8" t="s">
        <v>162</v>
      </c>
      <c r="J24" s="6" t="s">
        <v>111</v>
      </c>
      <c r="K24" s="9" t="s">
        <v>0</v>
      </c>
      <c r="L24" s="8" t="s">
        <v>130</v>
      </c>
      <c r="M24" s="10">
        <v>11630</v>
      </c>
      <c r="N24" s="10">
        <f t="shared" si="2"/>
        <v>98770</v>
      </c>
    </row>
    <row r="25" spans="1:14" s="11" customFormat="1" ht="19.5" customHeight="1" x14ac:dyDescent="0.25">
      <c r="A25" s="10"/>
      <c r="B25" s="10"/>
      <c r="C25" s="10"/>
      <c r="D25" s="21" t="s">
        <v>1</v>
      </c>
      <c r="E25" s="8"/>
      <c r="F25" s="10"/>
      <c r="G25" s="22">
        <f t="shared" si="1"/>
        <v>407950</v>
      </c>
      <c r="H25" s="10"/>
      <c r="I25" s="8" t="s">
        <v>163</v>
      </c>
      <c r="J25" s="6" t="s">
        <v>19</v>
      </c>
      <c r="K25" s="9" t="s">
        <v>0</v>
      </c>
      <c r="L25" s="8" t="s">
        <v>128</v>
      </c>
      <c r="M25" s="10">
        <v>6310</v>
      </c>
      <c r="N25" s="10">
        <f t="shared" si="2"/>
        <v>110400</v>
      </c>
    </row>
    <row r="26" spans="1:14" s="11" customFormat="1" ht="19.5" customHeight="1" x14ac:dyDescent="0.25">
      <c r="A26" s="10"/>
      <c r="B26" s="10"/>
      <c r="C26" s="10"/>
      <c r="D26" s="21" t="s">
        <v>1</v>
      </c>
      <c r="E26" s="8"/>
      <c r="F26" s="10"/>
      <c r="G26" s="22">
        <f t="shared" si="1"/>
        <v>407950</v>
      </c>
      <c r="H26" s="10"/>
      <c r="I26" s="8" t="s">
        <v>164</v>
      </c>
      <c r="J26" s="6" t="s">
        <v>86</v>
      </c>
      <c r="K26" s="9" t="s">
        <v>0</v>
      </c>
      <c r="L26" s="8" t="s">
        <v>127</v>
      </c>
      <c r="M26" s="10">
        <v>24620</v>
      </c>
      <c r="N26" s="10">
        <f t="shared" si="2"/>
        <v>116710</v>
      </c>
    </row>
    <row r="27" spans="1:14" s="11" customFormat="1" ht="19.5" customHeight="1" x14ac:dyDescent="0.25">
      <c r="A27" s="10"/>
      <c r="B27" s="10"/>
      <c r="C27" s="10"/>
      <c r="D27" s="21" t="s">
        <v>1</v>
      </c>
      <c r="E27" s="8"/>
      <c r="F27" s="10"/>
      <c r="G27" s="22">
        <f t="shared" si="1"/>
        <v>407950</v>
      </c>
      <c r="H27" s="10"/>
      <c r="I27" s="8" t="s">
        <v>165</v>
      </c>
      <c r="J27" s="6" t="s">
        <v>112</v>
      </c>
      <c r="K27" s="9" t="s">
        <v>0</v>
      </c>
      <c r="L27" s="8" t="s">
        <v>126</v>
      </c>
      <c r="M27" s="10">
        <v>7040</v>
      </c>
      <c r="N27" s="10">
        <f t="shared" si="2"/>
        <v>141330</v>
      </c>
    </row>
    <row r="28" spans="1:14" s="11" customFormat="1" ht="19.5" customHeight="1" x14ac:dyDescent="0.25">
      <c r="A28" s="10"/>
      <c r="B28" s="10"/>
      <c r="C28" s="10"/>
      <c r="D28" s="21" t="s">
        <v>1</v>
      </c>
      <c r="E28" s="8"/>
      <c r="F28" s="10"/>
      <c r="G28" s="22">
        <f t="shared" si="1"/>
        <v>407950</v>
      </c>
      <c r="H28" s="10"/>
      <c r="I28" s="10"/>
      <c r="J28" s="6"/>
      <c r="K28" s="21" t="s">
        <v>0</v>
      </c>
      <c r="L28" s="8"/>
      <c r="M28" s="10"/>
      <c r="N28" s="10">
        <f t="shared" si="2"/>
        <v>148370</v>
      </c>
    </row>
    <row r="29" spans="1:14" s="11" customFormat="1" ht="19.5" customHeight="1" x14ac:dyDescent="0.25">
      <c r="A29" s="10"/>
      <c r="B29" s="10"/>
      <c r="C29" s="10"/>
      <c r="D29" s="21" t="s">
        <v>1</v>
      </c>
      <c r="E29" s="8"/>
      <c r="F29" s="10"/>
      <c r="G29" s="22">
        <f t="shared" si="1"/>
        <v>407950</v>
      </c>
      <c r="H29" s="10"/>
      <c r="I29" s="10"/>
      <c r="J29" s="6"/>
      <c r="K29" s="21" t="s">
        <v>0</v>
      </c>
      <c r="L29" s="8"/>
      <c r="M29" s="10"/>
      <c r="N29" s="22">
        <f t="shared" si="2"/>
        <v>148370</v>
      </c>
    </row>
    <row r="30" spans="1:14" s="11" customFormat="1" ht="19.5" customHeight="1" x14ac:dyDescent="0.25">
      <c r="A30" s="10"/>
      <c r="B30" s="10"/>
      <c r="C30" s="10"/>
      <c r="D30" s="21" t="s">
        <v>1</v>
      </c>
      <c r="E30" s="8"/>
      <c r="F30" s="10"/>
      <c r="G30" s="22">
        <f t="shared" si="1"/>
        <v>407950</v>
      </c>
      <c r="H30" s="10"/>
      <c r="I30" s="10"/>
      <c r="J30" s="6" t="s">
        <v>144</v>
      </c>
      <c r="K30" s="21" t="s">
        <v>0</v>
      </c>
      <c r="L30" s="8"/>
      <c r="M30" s="10"/>
      <c r="N30" s="22">
        <f t="shared" si="2"/>
        <v>148370</v>
      </c>
    </row>
    <row r="31" spans="1:14" s="11" customFormat="1" ht="19.5" customHeight="1" x14ac:dyDescent="0.25">
      <c r="A31" s="10"/>
      <c r="B31" s="10"/>
      <c r="C31" s="10"/>
      <c r="D31" s="21" t="s">
        <v>1</v>
      </c>
      <c r="E31" s="8"/>
      <c r="F31" s="10"/>
      <c r="G31" s="22">
        <f t="shared" si="1"/>
        <v>407950</v>
      </c>
      <c r="H31" s="10"/>
      <c r="I31" s="10"/>
      <c r="J31" s="23" t="s">
        <v>166</v>
      </c>
      <c r="K31" s="21" t="s">
        <v>0</v>
      </c>
      <c r="L31" s="8"/>
      <c r="M31" s="10"/>
      <c r="N31" s="22">
        <f t="shared" si="2"/>
        <v>148370</v>
      </c>
    </row>
    <row r="32" spans="1:14" s="11" customFormat="1" ht="19.5" customHeight="1" x14ac:dyDescent="0.25">
      <c r="A32" s="10"/>
      <c r="B32" s="10"/>
      <c r="C32" s="10"/>
      <c r="D32" s="21" t="s">
        <v>1</v>
      </c>
      <c r="E32" s="8"/>
      <c r="F32" s="10"/>
      <c r="G32" s="22">
        <f t="shared" si="1"/>
        <v>407950</v>
      </c>
      <c r="H32" s="10"/>
      <c r="I32" s="10"/>
      <c r="J32" s="6" t="s">
        <v>167</v>
      </c>
      <c r="K32" s="21" t="s">
        <v>0</v>
      </c>
      <c r="L32" s="8"/>
      <c r="M32" s="10"/>
      <c r="N32" s="22">
        <f t="shared" si="2"/>
        <v>148370</v>
      </c>
    </row>
    <row r="33" spans="1:14" s="11" customFormat="1" ht="19.5" customHeight="1" x14ac:dyDescent="0.25">
      <c r="A33" s="10"/>
      <c r="B33" s="10"/>
      <c r="C33" s="10"/>
      <c r="D33" s="21" t="s">
        <v>1</v>
      </c>
      <c r="E33" s="8"/>
      <c r="F33" s="10"/>
      <c r="G33" s="22">
        <f t="shared" si="1"/>
        <v>407950</v>
      </c>
      <c r="H33" s="10"/>
      <c r="I33" s="10"/>
      <c r="J33" s="6"/>
      <c r="K33" s="21" t="s">
        <v>0</v>
      </c>
      <c r="L33" s="8"/>
      <c r="M33" s="10"/>
      <c r="N33" s="22">
        <f t="shared" si="2"/>
        <v>148370</v>
      </c>
    </row>
    <row r="34" spans="1:14" s="11" customFormat="1" ht="19.5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407950</v>
      </c>
      <c r="H34" s="10"/>
      <c r="I34" s="10"/>
      <c r="J34" s="6"/>
      <c r="K34" s="21" t="s">
        <v>0</v>
      </c>
      <c r="L34" s="10"/>
      <c r="M34" s="10"/>
      <c r="N34" s="22">
        <f t="shared" si="2"/>
        <v>148370</v>
      </c>
    </row>
    <row r="35" spans="1:14" ht="31.5" customHeight="1" x14ac:dyDescent="0.25">
      <c r="A35" s="46" t="s">
        <v>9</v>
      </c>
      <c r="B35" s="46"/>
      <c r="C35" s="47"/>
      <c r="D35" s="54">
        <f>G34+F34</f>
        <v>407950</v>
      </c>
      <c r="E35" s="54"/>
      <c r="F35" s="54"/>
      <c r="G35" s="54"/>
      <c r="H35" s="48" t="s">
        <v>10</v>
      </c>
      <c r="I35" s="48"/>
      <c r="J35" s="49"/>
      <c r="K35" s="54">
        <f>N34+M34</f>
        <v>148370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148370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259580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honeticPr fontId="21" type="noConversion"/>
  <pageMargins left="0.33088235294117646" right="0" top="0.25" bottom="0" header="0.05" footer="0.05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N46"/>
  <sheetViews>
    <sheetView view="pageBreakPreview" topLeftCell="A13" zoomScale="115" zoomScaleNormal="145" zoomScaleSheetLayoutView="115" zoomScalePageLayoutView="85" workbookViewId="0">
      <selection activeCell="J29" sqref="J29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5.5703125" style="1" customWidth="1"/>
    <col min="9" max="9" width="7.8554687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168</v>
      </c>
      <c r="D3" s="58" t="s">
        <v>4</v>
      </c>
      <c r="E3" s="58"/>
      <c r="F3" s="17" t="s">
        <v>3</v>
      </c>
      <c r="G3" s="3">
        <v>45572</v>
      </c>
      <c r="H3" s="57" t="s">
        <v>8</v>
      </c>
      <c r="I3" s="57"/>
      <c r="J3" s="18" t="s">
        <v>168</v>
      </c>
      <c r="K3" s="62" t="s">
        <v>5</v>
      </c>
      <c r="L3" s="62"/>
      <c r="M3" s="17" t="s">
        <v>3</v>
      </c>
      <c r="N3" s="3">
        <v>45572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(6)'!D37</f>
        <v>259580</v>
      </c>
      <c r="G4" s="8" t="s">
        <v>2</v>
      </c>
      <c r="H4" s="10"/>
      <c r="I4" s="10"/>
      <c r="J4" s="6" t="s">
        <v>100</v>
      </c>
      <c r="K4" s="9" t="s">
        <v>0</v>
      </c>
      <c r="L4" s="10"/>
      <c r="M4" s="10">
        <v>600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4470</v>
      </c>
      <c r="G5" s="10">
        <f>F4</f>
        <v>259580</v>
      </c>
      <c r="H5" s="8"/>
      <c r="I5" s="8"/>
      <c r="J5" s="6" t="s">
        <v>54</v>
      </c>
      <c r="K5" s="9" t="s">
        <v>0</v>
      </c>
      <c r="L5" s="8"/>
      <c r="M5" s="10">
        <v>210</v>
      </c>
      <c r="N5" s="10">
        <f>M4</f>
        <v>600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50</v>
      </c>
      <c r="G6" s="10">
        <f>G5+F5</f>
        <v>264050</v>
      </c>
      <c r="H6" s="8"/>
      <c r="I6" s="8"/>
      <c r="J6" s="6" t="s">
        <v>102</v>
      </c>
      <c r="K6" s="9" t="s">
        <v>0</v>
      </c>
      <c r="L6" s="8"/>
      <c r="M6" s="10">
        <v>330</v>
      </c>
      <c r="N6" s="10">
        <f t="shared" ref="N6:N34" si="0">N5+M5</f>
        <v>810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50</v>
      </c>
      <c r="G7" s="10">
        <f t="shared" ref="G7:G33" si="1">G6+F6</f>
        <v>264100</v>
      </c>
      <c r="H7" s="8"/>
      <c r="I7" s="8"/>
      <c r="J7" s="6" t="s">
        <v>220</v>
      </c>
      <c r="K7" s="9" t="s">
        <v>0</v>
      </c>
      <c r="L7" s="8"/>
      <c r="M7" s="10">
        <v>400</v>
      </c>
      <c r="N7" s="10">
        <f t="shared" si="0"/>
        <v>1140</v>
      </c>
    </row>
    <row r="8" spans="1:14" s="11" customFormat="1" ht="21" customHeight="1" x14ac:dyDescent="0.25">
      <c r="A8" s="8"/>
      <c r="B8" s="8"/>
      <c r="C8" s="6" t="s">
        <v>176</v>
      </c>
      <c r="D8" s="9" t="s">
        <v>1</v>
      </c>
      <c r="E8" s="8"/>
      <c r="F8" s="10">
        <v>1600</v>
      </c>
      <c r="G8" s="10">
        <f t="shared" si="1"/>
        <v>264150</v>
      </c>
      <c r="H8" s="8"/>
      <c r="I8" s="8" t="s">
        <v>200</v>
      </c>
      <c r="J8" s="6" t="s">
        <v>174</v>
      </c>
      <c r="K8" s="9" t="s">
        <v>0</v>
      </c>
      <c r="L8" s="8">
        <v>52</v>
      </c>
      <c r="M8" s="10">
        <v>14630</v>
      </c>
      <c r="N8" s="10">
        <f t="shared" si="0"/>
        <v>1540</v>
      </c>
    </row>
    <row r="9" spans="1:14" s="11" customFormat="1" ht="21" customHeight="1" x14ac:dyDescent="0.25">
      <c r="A9" s="8"/>
      <c r="B9" s="8"/>
      <c r="C9" s="6" t="s">
        <v>177</v>
      </c>
      <c r="D9" s="9" t="s">
        <v>1</v>
      </c>
      <c r="E9" s="8"/>
      <c r="F9" s="10">
        <v>24620</v>
      </c>
      <c r="G9" s="10">
        <f t="shared" si="1"/>
        <v>265750</v>
      </c>
      <c r="H9" s="8"/>
      <c r="I9" s="8" t="s">
        <v>201</v>
      </c>
      <c r="J9" s="6" t="s">
        <v>173</v>
      </c>
      <c r="K9" s="9" t="s">
        <v>0</v>
      </c>
      <c r="L9" s="8">
        <v>53</v>
      </c>
      <c r="M9" s="10">
        <v>12140</v>
      </c>
      <c r="N9" s="10">
        <f t="shared" si="0"/>
        <v>16170</v>
      </c>
    </row>
    <row r="10" spans="1:14" s="11" customFormat="1" ht="21" customHeight="1" x14ac:dyDescent="0.25">
      <c r="A10" s="8"/>
      <c r="B10" s="8"/>
      <c r="C10" s="6" t="s">
        <v>178</v>
      </c>
      <c r="D10" s="9" t="s">
        <v>1</v>
      </c>
      <c r="E10" s="8"/>
      <c r="F10" s="10">
        <v>9590</v>
      </c>
      <c r="G10" s="10">
        <f t="shared" si="1"/>
        <v>290370</v>
      </c>
      <c r="H10" s="8"/>
      <c r="I10" s="8" t="s">
        <v>202</v>
      </c>
      <c r="J10" s="6" t="s">
        <v>175</v>
      </c>
      <c r="K10" s="9" t="s">
        <v>0</v>
      </c>
      <c r="L10" s="8">
        <v>54</v>
      </c>
      <c r="M10" s="10">
        <v>15330</v>
      </c>
      <c r="N10" s="10">
        <f t="shared" si="0"/>
        <v>28310</v>
      </c>
    </row>
    <row r="11" spans="1:14" s="11" customFormat="1" ht="21" customHeight="1" x14ac:dyDescent="0.25">
      <c r="A11" s="8"/>
      <c r="B11" s="8"/>
      <c r="C11" s="6" t="s">
        <v>179</v>
      </c>
      <c r="D11" s="9" t="s">
        <v>1</v>
      </c>
      <c r="E11" s="8"/>
      <c r="F11" s="10">
        <v>4050</v>
      </c>
      <c r="G11" s="10">
        <f t="shared" si="1"/>
        <v>299960</v>
      </c>
      <c r="H11" s="8"/>
      <c r="I11" s="8" t="s">
        <v>203</v>
      </c>
      <c r="J11" s="6" t="s">
        <v>46</v>
      </c>
      <c r="K11" s="9" t="s">
        <v>0</v>
      </c>
      <c r="L11" s="8">
        <v>55</v>
      </c>
      <c r="M11" s="10">
        <v>2500</v>
      </c>
      <c r="N11" s="10">
        <f t="shared" si="0"/>
        <v>43640</v>
      </c>
    </row>
    <row r="12" spans="1:14" s="11" customFormat="1" ht="21" customHeight="1" x14ac:dyDescent="0.25">
      <c r="A12" s="8"/>
      <c r="B12" s="8"/>
      <c r="C12" s="6" t="s">
        <v>180</v>
      </c>
      <c r="D12" s="9" t="s">
        <v>1</v>
      </c>
      <c r="E12" s="8"/>
      <c r="F12" s="10">
        <v>52410</v>
      </c>
      <c r="G12" s="10">
        <f t="shared" si="1"/>
        <v>304010</v>
      </c>
      <c r="H12" s="8"/>
      <c r="I12" s="8" t="s">
        <v>204</v>
      </c>
      <c r="J12" s="6" t="s">
        <v>198</v>
      </c>
      <c r="K12" s="9" t="s">
        <v>0</v>
      </c>
      <c r="L12" s="8">
        <v>56</v>
      </c>
      <c r="M12" s="10">
        <v>9620</v>
      </c>
      <c r="N12" s="10">
        <f t="shared" si="0"/>
        <v>46140</v>
      </c>
    </row>
    <row r="13" spans="1:14" s="11" customFormat="1" ht="21" customHeight="1" x14ac:dyDescent="0.25">
      <c r="A13" s="8"/>
      <c r="B13" s="8"/>
      <c r="C13" s="6" t="s">
        <v>181</v>
      </c>
      <c r="D13" s="9" t="s">
        <v>1</v>
      </c>
      <c r="E13" s="8"/>
      <c r="F13" s="10">
        <v>9510</v>
      </c>
      <c r="G13" s="10">
        <f t="shared" si="1"/>
        <v>356420</v>
      </c>
      <c r="H13" s="8"/>
      <c r="I13" s="8" t="s">
        <v>205</v>
      </c>
      <c r="J13" s="6" t="s">
        <v>18</v>
      </c>
      <c r="K13" s="9" t="s">
        <v>0</v>
      </c>
      <c r="L13" s="8">
        <v>57</v>
      </c>
      <c r="M13" s="10">
        <v>6080</v>
      </c>
      <c r="N13" s="10">
        <f t="shared" si="0"/>
        <v>55760</v>
      </c>
    </row>
    <row r="14" spans="1:14" s="11" customFormat="1" ht="21" customHeight="1" x14ac:dyDescent="0.25">
      <c r="A14" s="8"/>
      <c r="B14" s="8"/>
      <c r="C14" s="6" t="s">
        <v>182</v>
      </c>
      <c r="D14" s="9" t="s">
        <v>1</v>
      </c>
      <c r="E14" s="8"/>
      <c r="F14" s="10">
        <v>18920</v>
      </c>
      <c r="G14" s="10">
        <f t="shared" si="1"/>
        <v>365930</v>
      </c>
      <c r="H14" s="8"/>
      <c r="I14" s="8" t="s">
        <v>207</v>
      </c>
      <c r="J14" s="6" t="s">
        <v>109</v>
      </c>
      <c r="K14" s="9" t="s">
        <v>0</v>
      </c>
      <c r="L14" s="8">
        <v>58</v>
      </c>
      <c r="M14" s="10">
        <v>3780</v>
      </c>
      <c r="N14" s="10">
        <f t="shared" si="0"/>
        <v>61840</v>
      </c>
    </row>
    <row r="15" spans="1:14" s="11" customFormat="1" ht="21" customHeight="1" x14ac:dyDescent="0.25">
      <c r="A15" s="10"/>
      <c r="B15" s="10"/>
      <c r="C15" s="6" t="s">
        <v>183</v>
      </c>
      <c r="D15" s="9" t="s">
        <v>1</v>
      </c>
      <c r="E15" s="8"/>
      <c r="F15" s="10">
        <v>20510</v>
      </c>
      <c r="G15" s="10">
        <f t="shared" si="1"/>
        <v>384850</v>
      </c>
      <c r="H15" s="10"/>
      <c r="I15" s="8" t="s">
        <v>206</v>
      </c>
      <c r="J15" s="6" t="s">
        <v>87</v>
      </c>
      <c r="K15" s="9" t="s">
        <v>0</v>
      </c>
      <c r="L15" s="8">
        <v>59</v>
      </c>
      <c r="M15" s="10">
        <v>1260</v>
      </c>
      <c r="N15" s="10">
        <f t="shared" si="0"/>
        <v>65620</v>
      </c>
    </row>
    <row r="16" spans="1:14" s="11" customFormat="1" ht="21" customHeight="1" x14ac:dyDescent="0.25">
      <c r="A16" s="10"/>
      <c r="B16" s="10"/>
      <c r="C16" s="6" t="s">
        <v>184</v>
      </c>
      <c r="D16" s="9" t="s">
        <v>1</v>
      </c>
      <c r="E16" s="8"/>
      <c r="F16" s="10">
        <v>2200</v>
      </c>
      <c r="G16" s="10">
        <f t="shared" si="1"/>
        <v>405360</v>
      </c>
      <c r="H16" s="10"/>
      <c r="I16" s="8" t="s">
        <v>208</v>
      </c>
      <c r="J16" s="6" t="s">
        <v>19</v>
      </c>
      <c r="K16" s="9" t="s">
        <v>0</v>
      </c>
      <c r="L16" s="8">
        <v>60</v>
      </c>
      <c r="M16" s="10">
        <v>3150</v>
      </c>
      <c r="N16" s="10">
        <f t="shared" si="0"/>
        <v>66880</v>
      </c>
    </row>
    <row r="17" spans="1:14" s="11" customFormat="1" ht="21" customHeight="1" x14ac:dyDescent="0.25">
      <c r="A17" s="10"/>
      <c r="B17" s="10"/>
      <c r="C17" s="6" t="s">
        <v>185</v>
      </c>
      <c r="D17" s="9" t="s">
        <v>1</v>
      </c>
      <c r="E17" s="8"/>
      <c r="F17" s="10">
        <v>3080</v>
      </c>
      <c r="G17" s="10">
        <f t="shared" si="1"/>
        <v>407560</v>
      </c>
      <c r="H17" s="10"/>
      <c r="I17" s="8" t="s">
        <v>210</v>
      </c>
      <c r="J17" s="6" t="s">
        <v>85</v>
      </c>
      <c r="K17" s="9" t="s">
        <v>0</v>
      </c>
      <c r="L17" s="8">
        <v>61</v>
      </c>
      <c r="M17" s="10">
        <v>1500</v>
      </c>
      <c r="N17" s="10">
        <f t="shared" si="0"/>
        <v>70030</v>
      </c>
    </row>
    <row r="18" spans="1:14" s="11" customFormat="1" ht="21" customHeight="1" x14ac:dyDescent="0.25">
      <c r="A18" s="10"/>
      <c r="B18" s="10"/>
      <c r="C18" s="6" t="s">
        <v>186</v>
      </c>
      <c r="D18" s="9" t="s">
        <v>1</v>
      </c>
      <c r="E18" s="8"/>
      <c r="F18" s="10">
        <v>11630</v>
      </c>
      <c r="G18" s="10">
        <f t="shared" si="1"/>
        <v>410640</v>
      </c>
      <c r="H18" s="10"/>
      <c r="I18" s="8" t="s">
        <v>209</v>
      </c>
      <c r="J18" s="6" t="s">
        <v>199</v>
      </c>
      <c r="K18" s="9" t="s">
        <v>0</v>
      </c>
      <c r="L18" s="8">
        <v>62</v>
      </c>
      <c r="M18" s="10">
        <v>6710</v>
      </c>
      <c r="N18" s="10">
        <f t="shared" si="0"/>
        <v>71530</v>
      </c>
    </row>
    <row r="19" spans="1:14" s="11" customFormat="1" ht="21" customHeight="1" x14ac:dyDescent="0.25">
      <c r="A19" s="10"/>
      <c r="B19" s="10"/>
      <c r="C19" s="6" t="s">
        <v>187</v>
      </c>
      <c r="D19" s="9" t="s">
        <v>1</v>
      </c>
      <c r="E19" s="8"/>
      <c r="F19" s="10">
        <v>3080</v>
      </c>
      <c r="G19" s="10">
        <f t="shared" si="1"/>
        <v>422270</v>
      </c>
      <c r="H19" s="10"/>
      <c r="I19" s="8" t="s">
        <v>212</v>
      </c>
      <c r="J19" s="6" t="s">
        <v>110</v>
      </c>
      <c r="K19" s="9" t="s">
        <v>0</v>
      </c>
      <c r="L19" s="8">
        <v>63</v>
      </c>
      <c r="M19" s="10">
        <v>4100</v>
      </c>
      <c r="N19" s="10">
        <f t="shared" si="0"/>
        <v>78240</v>
      </c>
    </row>
    <row r="20" spans="1:14" s="11" customFormat="1" ht="21" customHeight="1" x14ac:dyDescent="0.25">
      <c r="A20" s="10"/>
      <c r="B20" s="10"/>
      <c r="C20" s="6" t="s">
        <v>188</v>
      </c>
      <c r="D20" s="9" t="s">
        <v>1</v>
      </c>
      <c r="E20" s="8"/>
      <c r="F20" s="10">
        <v>1120</v>
      </c>
      <c r="G20" s="10">
        <f t="shared" si="1"/>
        <v>425350</v>
      </c>
      <c r="H20" s="10"/>
      <c r="I20" s="8" t="s">
        <v>211</v>
      </c>
      <c r="J20" s="6" t="s">
        <v>111</v>
      </c>
      <c r="K20" s="9" t="s">
        <v>0</v>
      </c>
      <c r="L20" s="8">
        <v>64</v>
      </c>
      <c r="M20" s="10">
        <v>7670</v>
      </c>
      <c r="N20" s="10">
        <f t="shared" si="0"/>
        <v>82340</v>
      </c>
    </row>
    <row r="21" spans="1:14" s="11" customFormat="1" ht="21" customHeight="1" x14ac:dyDescent="0.25">
      <c r="A21" s="10"/>
      <c r="B21" s="10"/>
      <c r="C21" s="6" t="s">
        <v>189</v>
      </c>
      <c r="D21" s="9" t="s">
        <v>1</v>
      </c>
      <c r="E21" s="8"/>
      <c r="F21" s="10">
        <v>6310</v>
      </c>
      <c r="G21" s="10">
        <f t="shared" si="1"/>
        <v>426470</v>
      </c>
      <c r="H21" s="10"/>
      <c r="I21" s="8" t="s">
        <v>213</v>
      </c>
      <c r="J21" s="6" t="s">
        <v>172</v>
      </c>
      <c r="K21" s="9" t="s">
        <v>0</v>
      </c>
      <c r="L21" s="8">
        <v>65</v>
      </c>
      <c r="M21" s="10">
        <v>2730</v>
      </c>
      <c r="N21" s="10">
        <f t="shared" si="0"/>
        <v>90010</v>
      </c>
    </row>
    <row r="22" spans="1:14" s="11" customFormat="1" ht="21" customHeight="1" x14ac:dyDescent="0.25">
      <c r="A22" s="10"/>
      <c r="B22" s="10"/>
      <c r="C22" s="6" t="s">
        <v>190</v>
      </c>
      <c r="D22" s="9" t="s">
        <v>1</v>
      </c>
      <c r="E22" s="8"/>
      <c r="F22" s="10">
        <v>4440</v>
      </c>
      <c r="G22" s="10">
        <f t="shared" si="1"/>
        <v>432780</v>
      </c>
      <c r="H22" s="10"/>
      <c r="I22" s="8" t="s">
        <v>217</v>
      </c>
      <c r="J22" s="6" t="s">
        <v>170</v>
      </c>
      <c r="K22" s="9" t="s">
        <v>0</v>
      </c>
      <c r="L22" s="8">
        <v>66</v>
      </c>
      <c r="M22" s="10">
        <v>3150</v>
      </c>
      <c r="N22" s="10">
        <f t="shared" si="0"/>
        <v>92740</v>
      </c>
    </row>
    <row r="23" spans="1:14" s="11" customFormat="1" ht="21" customHeight="1" x14ac:dyDescent="0.25">
      <c r="A23" s="10"/>
      <c r="B23" s="10"/>
      <c r="C23" s="6" t="s">
        <v>191</v>
      </c>
      <c r="D23" s="9" t="s">
        <v>1</v>
      </c>
      <c r="E23" s="8"/>
      <c r="F23" s="10">
        <v>6610</v>
      </c>
      <c r="G23" s="10">
        <f t="shared" si="1"/>
        <v>437220</v>
      </c>
      <c r="H23" s="10"/>
      <c r="I23" s="8" t="s">
        <v>214</v>
      </c>
      <c r="J23" s="6" t="s">
        <v>171</v>
      </c>
      <c r="K23" s="9" t="s">
        <v>0</v>
      </c>
      <c r="L23" s="8">
        <v>67</v>
      </c>
      <c r="M23" s="10">
        <v>3540</v>
      </c>
      <c r="N23" s="10">
        <f t="shared" si="0"/>
        <v>95890</v>
      </c>
    </row>
    <row r="24" spans="1:14" s="11" customFormat="1" ht="21" customHeight="1" x14ac:dyDescent="0.25">
      <c r="A24" s="10"/>
      <c r="B24" s="10"/>
      <c r="C24" s="6" t="s">
        <v>192</v>
      </c>
      <c r="D24" s="9" t="s">
        <v>1</v>
      </c>
      <c r="E24" s="8"/>
      <c r="F24" s="10">
        <v>1290</v>
      </c>
      <c r="G24" s="10">
        <f t="shared" si="1"/>
        <v>443830</v>
      </c>
      <c r="H24" s="10"/>
      <c r="I24" s="8" t="s">
        <v>216</v>
      </c>
      <c r="J24" s="6" t="s">
        <v>44</v>
      </c>
      <c r="K24" s="9" t="s">
        <v>0</v>
      </c>
      <c r="L24" s="8">
        <v>68</v>
      </c>
      <c r="M24" s="10">
        <v>4150</v>
      </c>
      <c r="N24" s="10">
        <f t="shared" si="0"/>
        <v>99430</v>
      </c>
    </row>
    <row r="25" spans="1:14" s="11" customFormat="1" ht="21" customHeight="1" x14ac:dyDescent="0.25">
      <c r="A25" s="10"/>
      <c r="B25" s="10"/>
      <c r="C25" s="6" t="s">
        <v>193</v>
      </c>
      <c r="D25" s="9" t="s">
        <v>1</v>
      </c>
      <c r="E25" s="8"/>
      <c r="F25" s="10">
        <v>3240</v>
      </c>
      <c r="G25" s="10">
        <f t="shared" si="1"/>
        <v>445120</v>
      </c>
      <c r="H25" s="10"/>
      <c r="I25" s="8" t="s">
        <v>219</v>
      </c>
      <c r="J25" s="6" t="s">
        <v>169</v>
      </c>
      <c r="K25" s="9" t="s">
        <v>0</v>
      </c>
      <c r="L25" s="8">
        <v>69</v>
      </c>
      <c r="M25" s="10">
        <v>800</v>
      </c>
      <c r="N25" s="10">
        <f t="shared" si="0"/>
        <v>103580</v>
      </c>
    </row>
    <row r="26" spans="1:14" s="11" customFormat="1" ht="21" customHeight="1" x14ac:dyDescent="0.25">
      <c r="A26" s="10"/>
      <c r="B26" s="10"/>
      <c r="C26" s="6" t="s">
        <v>194</v>
      </c>
      <c r="D26" s="9" t="s">
        <v>1</v>
      </c>
      <c r="E26" s="8"/>
      <c r="F26" s="10">
        <v>3330</v>
      </c>
      <c r="G26" s="10">
        <f t="shared" si="1"/>
        <v>448360</v>
      </c>
      <c r="H26" s="10"/>
      <c r="I26" s="8" t="s">
        <v>218</v>
      </c>
      <c r="J26" s="6" t="s">
        <v>82</v>
      </c>
      <c r="K26" s="9" t="s">
        <v>0</v>
      </c>
      <c r="L26" s="8">
        <v>51</v>
      </c>
      <c r="M26" s="10">
        <v>8550</v>
      </c>
      <c r="N26" s="10">
        <f t="shared" si="0"/>
        <v>104380</v>
      </c>
    </row>
    <row r="27" spans="1:14" s="11" customFormat="1" ht="21" customHeight="1" x14ac:dyDescent="0.25">
      <c r="A27" s="10"/>
      <c r="B27" s="10"/>
      <c r="C27" s="6" t="s">
        <v>195</v>
      </c>
      <c r="D27" s="9" t="s">
        <v>1</v>
      </c>
      <c r="E27" s="8"/>
      <c r="F27" s="10">
        <v>1100</v>
      </c>
      <c r="G27" s="10">
        <f t="shared" si="1"/>
        <v>451690</v>
      </c>
      <c r="H27" s="10"/>
      <c r="I27" s="8" t="s">
        <v>215</v>
      </c>
      <c r="J27" s="6" t="s">
        <v>82</v>
      </c>
      <c r="K27" s="9" t="s">
        <v>0</v>
      </c>
      <c r="L27" s="8">
        <v>51</v>
      </c>
      <c r="M27" s="10">
        <v>300</v>
      </c>
      <c r="N27" s="10">
        <f t="shared" si="0"/>
        <v>112930</v>
      </c>
    </row>
    <row r="28" spans="1:14" s="11" customFormat="1" ht="21" customHeight="1" x14ac:dyDescent="0.25">
      <c r="A28" s="10"/>
      <c r="B28" s="10"/>
      <c r="C28" s="6" t="s">
        <v>196</v>
      </c>
      <c r="D28" s="9" t="s">
        <v>1</v>
      </c>
      <c r="E28" s="8"/>
      <c r="F28" s="10">
        <v>1880</v>
      </c>
      <c r="G28" s="10">
        <f t="shared" si="1"/>
        <v>452790</v>
      </c>
      <c r="H28" s="10"/>
      <c r="I28" s="10"/>
      <c r="J28" s="6"/>
      <c r="K28" s="21" t="s">
        <v>0</v>
      </c>
      <c r="L28" s="8"/>
      <c r="M28" s="10"/>
      <c r="N28" s="10">
        <f t="shared" si="0"/>
        <v>113230</v>
      </c>
    </row>
    <row r="29" spans="1:14" s="11" customFormat="1" ht="21" customHeight="1" x14ac:dyDescent="0.25">
      <c r="A29" s="10"/>
      <c r="B29" s="10"/>
      <c r="C29" s="6" t="s">
        <v>197</v>
      </c>
      <c r="D29" s="9" t="s">
        <v>1</v>
      </c>
      <c r="E29" s="8"/>
      <c r="F29" s="10">
        <v>14000</v>
      </c>
      <c r="G29" s="10">
        <f t="shared" si="1"/>
        <v>454670</v>
      </c>
      <c r="H29" s="10"/>
      <c r="I29" s="10"/>
      <c r="J29" s="6"/>
      <c r="K29" s="21" t="s">
        <v>0</v>
      </c>
      <c r="L29" s="8"/>
      <c r="M29" s="10"/>
      <c r="N29" s="10">
        <f t="shared" si="0"/>
        <v>113230</v>
      </c>
    </row>
    <row r="30" spans="1:14" s="11" customFormat="1" ht="21" customHeight="1" x14ac:dyDescent="0.25">
      <c r="A30" s="10"/>
      <c r="B30" s="10"/>
      <c r="C30" s="6" t="s">
        <v>39</v>
      </c>
      <c r="D30" s="9" t="s">
        <v>1</v>
      </c>
      <c r="E30" s="8"/>
      <c r="F30" s="10">
        <v>8550</v>
      </c>
      <c r="G30" s="10">
        <f t="shared" si="1"/>
        <v>468670</v>
      </c>
      <c r="H30" s="10"/>
      <c r="I30" s="10"/>
      <c r="J30" s="6"/>
      <c r="K30" s="21" t="s">
        <v>0</v>
      </c>
      <c r="L30" s="8"/>
      <c r="M30" s="10"/>
      <c r="N30" s="10">
        <f t="shared" si="0"/>
        <v>113230</v>
      </c>
    </row>
    <row r="31" spans="1:14" s="11" customFormat="1" ht="21" customHeight="1" x14ac:dyDescent="0.25">
      <c r="A31" s="10"/>
      <c r="B31" s="10"/>
      <c r="C31" s="6" t="s">
        <v>39</v>
      </c>
      <c r="D31" s="9" t="s">
        <v>1</v>
      </c>
      <c r="E31" s="8"/>
      <c r="F31" s="10">
        <v>300</v>
      </c>
      <c r="G31" s="10">
        <f t="shared" si="1"/>
        <v>477220</v>
      </c>
      <c r="H31" s="10"/>
      <c r="I31" s="10"/>
      <c r="J31" s="6" t="s">
        <v>221</v>
      </c>
      <c r="K31" s="21" t="s">
        <v>0</v>
      </c>
      <c r="L31" s="8"/>
      <c r="M31" s="10"/>
      <c r="N31" s="10">
        <f t="shared" si="0"/>
        <v>113230</v>
      </c>
    </row>
    <row r="32" spans="1:14" s="11" customFormat="1" ht="21" customHeight="1" x14ac:dyDescent="0.25">
      <c r="A32" s="10"/>
      <c r="B32" s="10"/>
      <c r="C32" s="6"/>
      <c r="D32" s="9" t="s">
        <v>1</v>
      </c>
      <c r="E32" s="8"/>
      <c r="F32" s="10"/>
      <c r="G32" s="10">
        <f t="shared" si="1"/>
        <v>477520</v>
      </c>
      <c r="H32" s="10"/>
      <c r="I32" s="10"/>
      <c r="J32" s="23" t="s">
        <v>222</v>
      </c>
      <c r="K32" s="21" t="s">
        <v>0</v>
      </c>
      <c r="L32" s="8"/>
      <c r="M32" s="10"/>
      <c r="N32" s="10">
        <f t="shared" si="0"/>
        <v>113230</v>
      </c>
    </row>
    <row r="33" spans="1:14" s="11" customFormat="1" ht="21" customHeight="1" x14ac:dyDescent="0.25">
      <c r="A33" s="10"/>
      <c r="B33" s="10"/>
      <c r="C33" s="6"/>
      <c r="D33" s="9" t="s">
        <v>1</v>
      </c>
      <c r="E33" s="8"/>
      <c r="F33" s="10"/>
      <c r="G33" s="10">
        <f t="shared" si="1"/>
        <v>477520</v>
      </c>
      <c r="H33" s="10"/>
      <c r="I33" s="10"/>
      <c r="J33" s="6" t="s">
        <v>223</v>
      </c>
      <c r="K33" s="21" t="s">
        <v>0</v>
      </c>
      <c r="L33" s="8"/>
      <c r="M33" s="10"/>
      <c r="N33" s="10">
        <f t="shared" si="0"/>
        <v>113230</v>
      </c>
    </row>
    <row r="34" spans="1:14" s="11" customFormat="1" ht="21" customHeight="1" x14ac:dyDescent="0.25">
      <c r="A34" s="10"/>
      <c r="B34" s="10"/>
      <c r="C34" s="6"/>
      <c r="D34" s="9" t="s">
        <v>1</v>
      </c>
      <c r="E34" s="10"/>
      <c r="F34" s="10"/>
      <c r="G34" s="10">
        <f>G33+F33</f>
        <v>477520</v>
      </c>
      <c r="H34" s="10"/>
      <c r="I34" s="10"/>
      <c r="J34" s="6"/>
      <c r="K34" s="21" t="s">
        <v>0</v>
      </c>
      <c r="L34" s="10"/>
      <c r="M34" s="10"/>
      <c r="N34" s="10">
        <f t="shared" si="0"/>
        <v>113230</v>
      </c>
    </row>
    <row r="35" spans="1:14" ht="31.5" customHeight="1" x14ac:dyDescent="0.25">
      <c r="A35" s="46" t="s">
        <v>9</v>
      </c>
      <c r="B35" s="46"/>
      <c r="C35" s="47"/>
      <c r="D35" s="54">
        <f>G34+F34</f>
        <v>477520</v>
      </c>
      <c r="E35" s="54"/>
      <c r="F35" s="54"/>
      <c r="G35" s="54"/>
      <c r="H35" s="48" t="s">
        <v>10</v>
      </c>
      <c r="I35" s="48"/>
      <c r="J35" s="49"/>
      <c r="K35" s="54">
        <f>N34+M34</f>
        <v>113230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113230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364290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N46"/>
  <sheetViews>
    <sheetView view="pageBreakPreview" topLeftCell="A22" zoomScale="115" zoomScaleNormal="145" zoomScaleSheetLayoutView="115" zoomScalePageLayoutView="85" workbookViewId="0">
      <selection activeCell="H35" sqref="H35:J3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224</v>
      </c>
      <c r="D3" s="58" t="s">
        <v>4</v>
      </c>
      <c r="E3" s="58"/>
      <c r="F3" s="17" t="s">
        <v>3</v>
      </c>
      <c r="G3" s="3">
        <v>45573</v>
      </c>
      <c r="H3" s="57" t="s">
        <v>8</v>
      </c>
      <c r="I3" s="57"/>
      <c r="J3" s="18" t="s">
        <v>224</v>
      </c>
      <c r="K3" s="62" t="s">
        <v>5</v>
      </c>
      <c r="L3" s="62"/>
      <c r="M3" s="17" t="s">
        <v>3</v>
      </c>
      <c r="N3" s="3">
        <v>45573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(7)'!D37</f>
        <v>364290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550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8140</v>
      </c>
      <c r="G5" s="10">
        <f>F4</f>
        <v>364290</v>
      </c>
      <c r="H5" s="8"/>
      <c r="I5" s="8"/>
      <c r="J5" s="6" t="s">
        <v>54</v>
      </c>
      <c r="K5" s="9" t="s">
        <v>0</v>
      </c>
      <c r="L5" s="8"/>
      <c r="M5" s="10">
        <v>300</v>
      </c>
      <c r="N5" s="10">
        <f>M4</f>
        <v>550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40</v>
      </c>
      <c r="G6" s="10">
        <f>G5+F5</f>
        <v>372430</v>
      </c>
      <c r="H6" s="8"/>
      <c r="I6" s="8"/>
      <c r="J6" s="6" t="s">
        <v>232</v>
      </c>
      <c r="K6" s="9" t="s">
        <v>0</v>
      </c>
      <c r="L6" s="8"/>
      <c r="M6" s="10">
        <v>520</v>
      </c>
      <c r="N6" s="10">
        <f t="shared" ref="N6" si="0">N5+M5</f>
        <v>850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40</v>
      </c>
      <c r="G7" s="10">
        <f t="shared" ref="G7:G33" si="1">G6+F6</f>
        <v>372470</v>
      </c>
      <c r="H7" s="8"/>
      <c r="I7" s="8"/>
      <c r="J7" s="6" t="s">
        <v>233</v>
      </c>
      <c r="K7" s="9" t="s">
        <v>0</v>
      </c>
      <c r="L7" s="8"/>
      <c r="M7" s="10">
        <v>100</v>
      </c>
      <c r="N7" s="10">
        <f>N6+M6</f>
        <v>1370</v>
      </c>
    </row>
    <row r="8" spans="1:14" s="11" customFormat="1" ht="21" customHeight="1" x14ac:dyDescent="0.25">
      <c r="A8" s="8"/>
      <c r="B8" s="8"/>
      <c r="C8" s="6" t="s">
        <v>225</v>
      </c>
      <c r="D8" s="9" t="s">
        <v>1</v>
      </c>
      <c r="E8" s="8"/>
      <c r="F8" s="10">
        <v>20830</v>
      </c>
      <c r="G8" s="10">
        <f t="shared" si="1"/>
        <v>372510</v>
      </c>
      <c r="H8" s="8"/>
      <c r="I8" s="8"/>
      <c r="J8" s="6" t="s">
        <v>100</v>
      </c>
      <c r="K8" s="9" t="s">
        <v>0</v>
      </c>
      <c r="L8" s="8"/>
      <c r="M8" s="10">
        <v>500</v>
      </c>
      <c r="N8" s="10">
        <f t="shared" ref="N8:N34" si="2">N7+M7</f>
        <v>1470</v>
      </c>
    </row>
    <row r="9" spans="1:14" s="11" customFormat="1" ht="21" customHeight="1" x14ac:dyDescent="0.25">
      <c r="A9" s="8"/>
      <c r="B9" s="8"/>
      <c r="C9" s="6" t="s">
        <v>234</v>
      </c>
      <c r="D9" s="9" t="s">
        <v>1</v>
      </c>
      <c r="E9" s="8"/>
      <c r="F9" s="10">
        <v>6710</v>
      </c>
      <c r="G9" s="10">
        <f t="shared" si="1"/>
        <v>393340</v>
      </c>
      <c r="H9" s="8"/>
      <c r="I9" s="8">
        <v>68</v>
      </c>
      <c r="J9" s="6" t="s">
        <v>173</v>
      </c>
      <c r="K9" s="9" t="s">
        <v>0</v>
      </c>
      <c r="L9" s="8">
        <v>70</v>
      </c>
      <c r="M9" s="10">
        <v>61960</v>
      </c>
      <c r="N9" s="10">
        <f t="shared" si="2"/>
        <v>1970</v>
      </c>
    </row>
    <row r="10" spans="1:14" s="11" customFormat="1" ht="21" customHeight="1" x14ac:dyDescent="0.25">
      <c r="A10" s="8"/>
      <c r="B10" s="8"/>
      <c r="C10" s="6" t="s">
        <v>235</v>
      </c>
      <c r="D10" s="9" t="s">
        <v>1</v>
      </c>
      <c r="E10" s="8"/>
      <c r="F10" s="10">
        <v>7040</v>
      </c>
      <c r="G10" s="10">
        <f t="shared" si="1"/>
        <v>400050</v>
      </c>
      <c r="H10" s="8"/>
      <c r="I10" s="8">
        <v>69</v>
      </c>
      <c r="J10" s="6" t="s">
        <v>46</v>
      </c>
      <c r="K10" s="9" t="s">
        <v>0</v>
      </c>
      <c r="L10" s="8">
        <v>71</v>
      </c>
      <c r="M10" s="10">
        <v>20190</v>
      </c>
      <c r="N10" s="10">
        <f t="shared" si="2"/>
        <v>63930</v>
      </c>
    </row>
    <row r="11" spans="1:14" s="11" customFormat="1" ht="21" customHeight="1" x14ac:dyDescent="0.25">
      <c r="A11" s="8"/>
      <c r="B11" s="8"/>
      <c r="C11" s="6" t="s">
        <v>183</v>
      </c>
      <c r="D11" s="9" t="s">
        <v>1</v>
      </c>
      <c r="E11" s="8"/>
      <c r="F11" s="10">
        <v>30000</v>
      </c>
      <c r="G11" s="10">
        <f t="shared" si="1"/>
        <v>407090</v>
      </c>
      <c r="H11" s="8"/>
      <c r="I11" s="8">
        <v>70</v>
      </c>
      <c r="J11" s="6" t="s">
        <v>247</v>
      </c>
      <c r="K11" s="9" t="s">
        <v>0</v>
      </c>
      <c r="L11" s="8">
        <v>72</v>
      </c>
      <c r="M11" s="10">
        <v>6450</v>
      </c>
      <c r="N11" s="10">
        <f t="shared" si="2"/>
        <v>84120</v>
      </c>
    </row>
    <row r="12" spans="1:14" s="11" customFormat="1" ht="21" customHeight="1" x14ac:dyDescent="0.25">
      <c r="A12" s="8"/>
      <c r="B12" s="8"/>
      <c r="C12" s="6" t="s">
        <v>189</v>
      </c>
      <c r="D12" s="9" t="s">
        <v>1</v>
      </c>
      <c r="E12" s="8"/>
      <c r="F12" s="10">
        <v>3150</v>
      </c>
      <c r="G12" s="10">
        <f t="shared" si="1"/>
        <v>437090</v>
      </c>
      <c r="H12" s="8"/>
      <c r="I12" s="8">
        <v>71</v>
      </c>
      <c r="J12" s="6" t="s">
        <v>174</v>
      </c>
      <c r="K12" s="9" t="s">
        <v>0</v>
      </c>
      <c r="L12" s="8">
        <v>73</v>
      </c>
      <c r="M12" s="10">
        <v>11350</v>
      </c>
      <c r="N12" s="10">
        <f t="shared" si="2"/>
        <v>90570</v>
      </c>
    </row>
    <row r="13" spans="1:14" s="11" customFormat="1" ht="21" customHeight="1" x14ac:dyDescent="0.25">
      <c r="A13" s="8"/>
      <c r="B13" s="8"/>
      <c r="C13" s="6" t="s">
        <v>179</v>
      </c>
      <c r="D13" s="9" t="s">
        <v>1</v>
      </c>
      <c r="E13" s="8"/>
      <c r="F13" s="10">
        <v>1260</v>
      </c>
      <c r="G13" s="10">
        <f t="shared" si="1"/>
        <v>440240</v>
      </c>
      <c r="H13" s="8"/>
      <c r="I13" s="8">
        <v>72</v>
      </c>
      <c r="J13" s="6" t="s">
        <v>175</v>
      </c>
      <c r="K13" s="9" t="s">
        <v>0</v>
      </c>
      <c r="L13" s="8">
        <v>74</v>
      </c>
      <c r="M13" s="10">
        <v>30180</v>
      </c>
      <c r="N13" s="10">
        <f t="shared" si="2"/>
        <v>101920</v>
      </c>
    </row>
    <row r="14" spans="1:14" s="11" customFormat="1" ht="21" customHeight="1" x14ac:dyDescent="0.25">
      <c r="A14" s="8"/>
      <c r="B14" s="8"/>
      <c r="C14" s="6" t="s">
        <v>236</v>
      </c>
      <c r="D14" s="9" t="s">
        <v>1</v>
      </c>
      <c r="E14" s="8"/>
      <c r="F14" s="10">
        <v>4100</v>
      </c>
      <c r="G14" s="10">
        <f t="shared" si="1"/>
        <v>441500</v>
      </c>
      <c r="H14" s="8"/>
      <c r="I14" s="8">
        <v>73</v>
      </c>
      <c r="J14" s="6" t="s">
        <v>43</v>
      </c>
      <c r="K14" s="9" t="s">
        <v>0</v>
      </c>
      <c r="L14" s="8">
        <v>75</v>
      </c>
      <c r="M14" s="10">
        <v>3950</v>
      </c>
      <c r="N14" s="10">
        <f t="shared" si="2"/>
        <v>132100</v>
      </c>
    </row>
    <row r="15" spans="1:14" s="11" customFormat="1" ht="21" customHeight="1" x14ac:dyDescent="0.25">
      <c r="A15" s="10"/>
      <c r="B15" s="10"/>
      <c r="C15" s="6" t="s">
        <v>237</v>
      </c>
      <c r="D15" s="9" t="s">
        <v>1</v>
      </c>
      <c r="E15" s="8"/>
      <c r="F15" s="10">
        <v>2730</v>
      </c>
      <c r="G15" s="10">
        <f t="shared" si="1"/>
        <v>445600</v>
      </c>
      <c r="H15" s="10"/>
      <c r="I15" s="8">
        <v>74</v>
      </c>
      <c r="J15" s="6" t="s">
        <v>226</v>
      </c>
      <c r="K15" s="9" t="s">
        <v>0</v>
      </c>
      <c r="L15" s="8">
        <v>76</v>
      </c>
      <c r="M15" s="10">
        <v>4150</v>
      </c>
      <c r="N15" s="10">
        <f t="shared" si="2"/>
        <v>136050</v>
      </c>
    </row>
    <row r="16" spans="1:14" s="11" customFormat="1" ht="21" customHeight="1" x14ac:dyDescent="0.25">
      <c r="A16" s="10"/>
      <c r="B16" s="10"/>
      <c r="C16" s="6" t="s">
        <v>186</v>
      </c>
      <c r="D16" s="9" t="s">
        <v>1</v>
      </c>
      <c r="E16" s="8"/>
      <c r="F16" s="10">
        <v>7670</v>
      </c>
      <c r="G16" s="10">
        <f t="shared" si="1"/>
        <v>448330</v>
      </c>
      <c r="H16" s="10"/>
      <c r="I16" s="8">
        <v>75</v>
      </c>
      <c r="J16" s="6" t="s">
        <v>227</v>
      </c>
      <c r="K16" s="9" t="s">
        <v>0</v>
      </c>
      <c r="L16" s="8">
        <v>77</v>
      </c>
      <c r="M16" s="10">
        <v>1610</v>
      </c>
      <c r="N16" s="10">
        <f t="shared" si="2"/>
        <v>140200</v>
      </c>
    </row>
    <row r="17" spans="1:14" s="11" customFormat="1" ht="21" customHeight="1" x14ac:dyDescent="0.25">
      <c r="A17" s="10"/>
      <c r="B17" s="10"/>
      <c r="C17" s="6" t="s">
        <v>238</v>
      </c>
      <c r="D17" s="9" t="s">
        <v>1</v>
      </c>
      <c r="E17" s="8"/>
      <c r="F17" s="10">
        <v>2950</v>
      </c>
      <c r="G17" s="10">
        <f t="shared" si="1"/>
        <v>456000</v>
      </c>
      <c r="H17" s="10"/>
      <c r="I17" s="8">
        <v>76</v>
      </c>
      <c r="J17" s="6" t="s">
        <v>228</v>
      </c>
      <c r="K17" s="9" t="s">
        <v>0</v>
      </c>
      <c r="L17" s="8">
        <v>78</v>
      </c>
      <c r="M17" s="10">
        <v>2780</v>
      </c>
      <c r="N17" s="10">
        <f t="shared" si="2"/>
        <v>141810</v>
      </c>
    </row>
    <row r="18" spans="1:14" s="11" customFormat="1" ht="21" customHeight="1" x14ac:dyDescent="0.25">
      <c r="A18" s="10"/>
      <c r="B18" s="10"/>
      <c r="C18" s="6" t="s">
        <v>191</v>
      </c>
      <c r="D18" s="9" t="s">
        <v>1</v>
      </c>
      <c r="E18" s="8"/>
      <c r="F18" s="10">
        <v>2500</v>
      </c>
      <c r="G18" s="10">
        <f t="shared" si="1"/>
        <v>458950</v>
      </c>
      <c r="H18" s="10"/>
      <c r="I18" s="8">
        <v>77</v>
      </c>
      <c r="J18" s="6" t="s">
        <v>229</v>
      </c>
      <c r="K18" s="9" t="s">
        <v>0</v>
      </c>
      <c r="L18" s="8">
        <v>79</v>
      </c>
      <c r="M18" s="10">
        <v>8310</v>
      </c>
      <c r="N18" s="10">
        <f t="shared" si="2"/>
        <v>144590</v>
      </c>
    </row>
    <row r="19" spans="1:14" s="11" customFormat="1" ht="21" customHeight="1" x14ac:dyDescent="0.25">
      <c r="A19" s="10"/>
      <c r="B19" s="10"/>
      <c r="C19" s="6" t="s">
        <v>239</v>
      </c>
      <c r="D19" s="9" t="s">
        <v>1</v>
      </c>
      <c r="E19" s="8"/>
      <c r="F19" s="10">
        <v>3150</v>
      </c>
      <c r="G19" s="10">
        <f t="shared" si="1"/>
        <v>461450</v>
      </c>
      <c r="H19" s="10"/>
      <c r="I19" s="8">
        <v>78</v>
      </c>
      <c r="J19" s="6" t="s">
        <v>230</v>
      </c>
      <c r="K19" s="9" t="s">
        <v>0</v>
      </c>
      <c r="L19" s="8">
        <v>80</v>
      </c>
      <c r="M19" s="10">
        <v>3530</v>
      </c>
      <c r="N19" s="10">
        <f t="shared" si="2"/>
        <v>152900</v>
      </c>
    </row>
    <row r="20" spans="1:14" s="11" customFormat="1" ht="21" customHeight="1" x14ac:dyDescent="0.25">
      <c r="A20" s="10"/>
      <c r="B20" s="10"/>
      <c r="C20" s="6" t="s">
        <v>240</v>
      </c>
      <c r="D20" s="9" t="s">
        <v>1</v>
      </c>
      <c r="E20" s="8"/>
      <c r="F20" s="10">
        <v>800</v>
      </c>
      <c r="G20" s="10">
        <f t="shared" si="1"/>
        <v>464600</v>
      </c>
      <c r="H20" s="10"/>
      <c r="I20" s="8">
        <v>79</v>
      </c>
      <c r="J20" s="6" t="s">
        <v>244</v>
      </c>
      <c r="K20" s="9" t="s">
        <v>0</v>
      </c>
      <c r="L20" s="8">
        <v>81</v>
      </c>
      <c r="M20" s="10">
        <v>2810</v>
      </c>
      <c r="N20" s="10">
        <f t="shared" si="2"/>
        <v>156430</v>
      </c>
    </row>
    <row r="21" spans="1:14" s="11" customFormat="1" ht="21" customHeight="1" x14ac:dyDescent="0.25">
      <c r="A21" s="10"/>
      <c r="B21" s="10"/>
      <c r="C21" s="6" t="s">
        <v>241</v>
      </c>
      <c r="D21" s="9" t="s">
        <v>1</v>
      </c>
      <c r="E21" s="8"/>
      <c r="F21" s="10">
        <v>3540</v>
      </c>
      <c r="G21" s="10">
        <f t="shared" si="1"/>
        <v>465400</v>
      </c>
      <c r="H21" s="10"/>
      <c r="I21" s="8">
        <v>80</v>
      </c>
      <c r="J21" s="6" t="s">
        <v>105</v>
      </c>
      <c r="K21" s="9" t="s">
        <v>0</v>
      </c>
      <c r="L21" s="8">
        <v>82</v>
      </c>
      <c r="M21" s="10">
        <v>1960</v>
      </c>
      <c r="N21" s="10">
        <f t="shared" si="2"/>
        <v>159240</v>
      </c>
    </row>
    <row r="22" spans="1:14" s="11" customFormat="1" ht="21" customHeight="1" x14ac:dyDescent="0.25">
      <c r="A22" s="10"/>
      <c r="B22" s="10"/>
      <c r="C22" s="6" t="s">
        <v>242</v>
      </c>
      <c r="D22" s="9" t="s">
        <v>1</v>
      </c>
      <c r="E22" s="8"/>
      <c r="F22" s="10">
        <v>6080</v>
      </c>
      <c r="G22" s="10">
        <f t="shared" si="1"/>
        <v>468940</v>
      </c>
      <c r="H22" s="10"/>
      <c r="I22" s="8">
        <v>81</v>
      </c>
      <c r="J22" s="6" t="s">
        <v>231</v>
      </c>
      <c r="K22" s="9" t="s">
        <v>0</v>
      </c>
      <c r="L22" s="8">
        <v>83</v>
      </c>
      <c r="M22" s="10">
        <v>1540</v>
      </c>
      <c r="N22" s="10">
        <f t="shared" si="2"/>
        <v>161200</v>
      </c>
    </row>
    <row r="23" spans="1:14" s="11" customFormat="1" ht="21" customHeight="1" x14ac:dyDescent="0.25">
      <c r="A23" s="10"/>
      <c r="B23" s="10"/>
      <c r="C23" s="6" t="s">
        <v>196</v>
      </c>
      <c r="D23" s="9" t="s">
        <v>1</v>
      </c>
      <c r="E23" s="8"/>
      <c r="F23" s="10">
        <v>3780</v>
      </c>
      <c r="G23" s="10">
        <f t="shared" si="1"/>
        <v>475020</v>
      </c>
      <c r="H23" s="10"/>
      <c r="I23" s="8">
        <v>82</v>
      </c>
      <c r="J23" s="6" t="s">
        <v>19</v>
      </c>
      <c r="K23" s="9" t="s">
        <v>0</v>
      </c>
      <c r="L23" s="8">
        <v>84</v>
      </c>
      <c r="M23" s="10">
        <v>5410</v>
      </c>
      <c r="N23" s="10">
        <f t="shared" si="2"/>
        <v>162740</v>
      </c>
    </row>
    <row r="24" spans="1:14" s="11" customFormat="1" ht="21" customHeight="1" x14ac:dyDescent="0.25">
      <c r="A24" s="10"/>
      <c r="B24" s="10"/>
      <c r="C24" s="6" t="s">
        <v>243</v>
      </c>
      <c r="D24" s="9" t="s">
        <v>1</v>
      </c>
      <c r="E24" s="8"/>
      <c r="F24" s="10">
        <v>12330</v>
      </c>
      <c r="G24" s="10">
        <f t="shared" si="1"/>
        <v>478800</v>
      </c>
      <c r="H24" s="10"/>
      <c r="I24" s="8">
        <v>83</v>
      </c>
      <c r="J24" s="6" t="s">
        <v>110</v>
      </c>
      <c r="K24" s="9" t="s">
        <v>0</v>
      </c>
      <c r="L24" s="8">
        <v>85</v>
      </c>
      <c r="M24" s="10">
        <v>2100</v>
      </c>
      <c r="N24" s="10">
        <f t="shared" si="2"/>
        <v>168150</v>
      </c>
    </row>
    <row r="25" spans="1:14" s="11" customFormat="1" ht="21" customHeight="1" x14ac:dyDescent="0.25">
      <c r="A25" s="10"/>
      <c r="B25" s="10"/>
      <c r="C25" s="6"/>
      <c r="D25" s="9" t="s">
        <v>1</v>
      </c>
      <c r="E25" s="8"/>
      <c r="F25" s="10"/>
      <c r="G25" s="10">
        <f t="shared" si="1"/>
        <v>491130</v>
      </c>
      <c r="H25" s="10"/>
      <c r="I25" s="8">
        <v>84</v>
      </c>
      <c r="J25" s="6" t="s">
        <v>108</v>
      </c>
      <c r="K25" s="9" t="s">
        <v>0</v>
      </c>
      <c r="L25" s="8">
        <v>86</v>
      </c>
      <c r="M25" s="10">
        <v>1330</v>
      </c>
      <c r="N25" s="10">
        <f t="shared" si="2"/>
        <v>170250</v>
      </c>
    </row>
    <row r="26" spans="1:14" s="11" customFormat="1" ht="21" customHeight="1" x14ac:dyDescent="0.25">
      <c r="A26" s="10"/>
      <c r="B26" s="10"/>
      <c r="C26" s="6"/>
      <c r="D26" s="9" t="s">
        <v>1</v>
      </c>
      <c r="E26" s="8"/>
      <c r="F26" s="10"/>
      <c r="G26" s="10">
        <f t="shared" si="1"/>
        <v>491130</v>
      </c>
      <c r="H26" s="10"/>
      <c r="I26" s="8">
        <v>85</v>
      </c>
      <c r="J26" s="6" t="s">
        <v>107</v>
      </c>
      <c r="K26" s="9" t="s">
        <v>0</v>
      </c>
      <c r="L26" s="8">
        <v>87</v>
      </c>
      <c r="M26" s="10">
        <v>3120</v>
      </c>
      <c r="N26" s="10">
        <f t="shared" si="2"/>
        <v>171580</v>
      </c>
    </row>
    <row r="27" spans="1:14" s="11" customFormat="1" ht="21" customHeight="1" x14ac:dyDescent="0.25">
      <c r="A27" s="10"/>
      <c r="B27" s="10"/>
      <c r="C27" s="6"/>
      <c r="D27" s="9" t="s">
        <v>1</v>
      </c>
      <c r="E27" s="8"/>
      <c r="F27" s="10"/>
      <c r="G27" s="10">
        <f t="shared" si="1"/>
        <v>491130</v>
      </c>
      <c r="H27" s="10"/>
      <c r="I27" s="8">
        <v>86</v>
      </c>
      <c r="J27" s="6" t="s">
        <v>245</v>
      </c>
      <c r="K27" s="9" t="s">
        <v>0</v>
      </c>
      <c r="L27" s="8">
        <v>88</v>
      </c>
      <c r="M27" s="10">
        <v>3820</v>
      </c>
      <c r="N27" s="10">
        <f t="shared" si="2"/>
        <v>174700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491130</v>
      </c>
      <c r="H28" s="10"/>
      <c r="I28" s="8">
        <v>87</v>
      </c>
      <c r="J28" s="6" t="s">
        <v>82</v>
      </c>
      <c r="K28" s="9" t="s">
        <v>0</v>
      </c>
      <c r="L28" s="8">
        <v>52</v>
      </c>
      <c r="M28" s="10">
        <v>20830</v>
      </c>
      <c r="N28" s="10">
        <f t="shared" si="2"/>
        <v>178520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491130</v>
      </c>
      <c r="H29" s="10"/>
      <c r="I29" s="8">
        <v>88</v>
      </c>
      <c r="J29" s="6" t="s">
        <v>246</v>
      </c>
      <c r="K29" s="9" t="s">
        <v>0</v>
      </c>
      <c r="L29" s="8">
        <v>53</v>
      </c>
      <c r="M29" s="10">
        <v>6300</v>
      </c>
      <c r="N29" s="10">
        <f t="shared" si="2"/>
        <v>199350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491130</v>
      </c>
      <c r="H30" s="10"/>
      <c r="I30" s="10"/>
      <c r="J30" s="6" t="s">
        <v>248</v>
      </c>
      <c r="K30" s="9" t="s">
        <v>0</v>
      </c>
      <c r="L30" s="8"/>
      <c r="M30" s="10">
        <v>2650</v>
      </c>
      <c r="N30" s="10">
        <f t="shared" si="2"/>
        <v>205650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491130</v>
      </c>
      <c r="H31" s="10"/>
      <c r="I31" s="10"/>
      <c r="J31" s="6"/>
      <c r="K31" s="9" t="s">
        <v>0</v>
      </c>
      <c r="L31" s="8"/>
      <c r="M31" s="10"/>
      <c r="N31" s="10">
        <f t="shared" si="2"/>
        <v>208300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491130</v>
      </c>
      <c r="H32" s="10"/>
      <c r="I32" s="10"/>
      <c r="J32" s="6" t="s">
        <v>249</v>
      </c>
      <c r="K32" s="9" t="s">
        <v>0</v>
      </c>
      <c r="L32" s="6"/>
      <c r="M32" s="10"/>
      <c r="N32" s="10">
        <f t="shared" si="2"/>
        <v>208300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491130</v>
      </c>
      <c r="H33" s="10"/>
      <c r="I33" s="10"/>
      <c r="J33" s="23" t="s">
        <v>250</v>
      </c>
      <c r="K33" s="9" t="s">
        <v>0</v>
      </c>
      <c r="L33" s="8"/>
      <c r="M33" s="10"/>
      <c r="N33" s="10">
        <f t="shared" si="2"/>
        <v>208300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491130</v>
      </c>
      <c r="H34" s="10"/>
      <c r="I34" s="10"/>
      <c r="J34" s="6" t="s">
        <v>283</v>
      </c>
      <c r="K34" s="9" t="s">
        <v>0</v>
      </c>
      <c r="L34" s="10"/>
      <c r="M34" s="10"/>
      <c r="N34" s="10">
        <f t="shared" si="2"/>
        <v>208300</v>
      </c>
    </row>
    <row r="35" spans="1:14" ht="31.5" customHeight="1" x14ac:dyDescent="0.25">
      <c r="A35" s="46" t="s">
        <v>9</v>
      </c>
      <c r="B35" s="46"/>
      <c r="C35" s="47"/>
      <c r="D35" s="54">
        <f>G34+F34</f>
        <v>491130</v>
      </c>
      <c r="E35" s="54"/>
      <c r="F35" s="54"/>
      <c r="G35" s="54"/>
      <c r="H35" s="48" t="s">
        <v>10</v>
      </c>
      <c r="I35" s="48"/>
      <c r="J35" s="49"/>
      <c r="K35" s="54">
        <f>N34+M34</f>
        <v>208300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208300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282830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46"/>
  <sheetViews>
    <sheetView view="pageBreakPreview" topLeftCell="A16" zoomScale="115" zoomScaleNormal="145" zoomScaleSheetLayoutView="115" zoomScalePageLayoutView="85" workbookViewId="0">
      <selection activeCell="J34" sqref="J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251</v>
      </c>
      <c r="D3" s="58" t="s">
        <v>4</v>
      </c>
      <c r="E3" s="58"/>
      <c r="F3" s="17" t="s">
        <v>3</v>
      </c>
      <c r="G3" s="3">
        <v>45574</v>
      </c>
      <c r="H3" s="57" t="s">
        <v>8</v>
      </c>
      <c r="I3" s="57"/>
      <c r="J3" s="18" t="s">
        <v>251</v>
      </c>
      <c r="K3" s="62" t="s">
        <v>5</v>
      </c>
      <c r="L3" s="62"/>
      <c r="M3" s="17" t="s">
        <v>3</v>
      </c>
      <c r="N3" s="3">
        <v>45574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(8)'!D37</f>
        <v>282830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810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7210</v>
      </c>
      <c r="G5" s="10">
        <f>F4</f>
        <v>282830</v>
      </c>
      <c r="H5" s="8"/>
      <c r="I5" s="8"/>
      <c r="J5" s="6" t="s">
        <v>54</v>
      </c>
      <c r="K5" s="9" t="s">
        <v>0</v>
      </c>
      <c r="L5" s="8"/>
      <c r="M5" s="10">
        <v>240</v>
      </c>
      <c r="N5" s="10">
        <f>M4</f>
        <v>810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50</v>
      </c>
      <c r="G6" s="10">
        <f>G5+F5</f>
        <v>290040</v>
      </c>
      <c r="H6" s="8"/>
      <c r="I6" s="8"/>
      <c r="J6" s="6" t="s">
        <v>100</v>
      </c>
      <c r="K6" s="9" t="s">
        <v>0</v>
      </c>
      <c r="L6" s="8"/>
      <c r="M6" s="10">
        <v>470</v>
      </c>
      <c r="N6" s="10">
        <f t="shared" ref="N6" si="0">N5+M5</f>
        <v>1050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50</v>
      </c>
      <c r="G7" s="10">
        <f t="shared" ref="G7:G33" si="1">G6+F6</f>
        <v>290090</v>
      </c>
      <c r="H7" s="8"/>
      <c r="I7" s="8">
        <v>89</v>
      </c>
      <c r="J7" s="6" t="s">
        <v>42</v>
      </c>
      <c r="K7" s="9" t="s">
        <v>0</v>
      </c>
      <c r="L7" s="8">
        <v>91</v>
      </c>
      <c r="M7" s="10">
        <v>9720</v>
      </c>
      <c r="N7" s="10">
        <f>N6+M6</f>
        <v>1520</v>
      </c>
    </row>
    <row r="8" spans="1:14" s="11" customFormat="1" ht="21" customHeight="1" x14ac:dyDescent="0.25">
      <c r="A8" s="8"/>
      <c r="B8" s="8"/>
      <c r="C8" s="6" t="s">
        <v>225</v>
      </c>
      <c r="D8" s="9" t="s">
        <v>1</v>
      </c>
      <c r="E8" s="8"/>
      <c r="F8" s="10">
        <v>14930</v>
      </c>
      <c r="G8" s="10">
        <f t="shared" si="1"/>
        <v>290140</v>
      </c>
      <c r="H8" s="8"/>
      <c r="I8" s="8">
        <v>90</v>
      </c>
      <c r="J8" s="6" t="s">
        <v>19</v>
      </c>
      <c r="K8" s="9" t="s">
        <v>0</v>
      </c>
      <c r="L8" s="8">
        <v>95</v>
      </c>
      <c r="M8" s="10">
        <v>6760</v>
      </c>
      <c r="N8" s="10">
        <f t="shared" ref="N8:N34" si="2">N7+M7</f>
        <v>11240</v>
      </c>
    </row>
    <row r="9" spans="1:14" s="11" customFormat="1" ht="21" customHeight="1" x14ac:dyDescent="0.25">
      <c r="A9" s="8"/>
      <c r="B9" s="24"/>
      <c r="C9" s="6" t="s">
        <v>225</v>
      </c>
      <c r="D9" s="9" t="s">
        <v>1</v>
      </c>
      <c r="E9" s="8"/>
      <c r="F9" s="10">
        <v>700</v>
      </c>
      <c r="G9" s="10">
        <f t="shared" si="1"/>
        <v>305070</v>
      </c>
      <c r="H9" s="8"/>
      <c r="I9" s="8">
        <v>91</v>
      </c>
      <c r="J9" s="6" t="s">
        <v>230</v>
      </c>
      <c r="K9" s="9" t="s">
        <v>0</v>
      </c>
      <c r="L9" s="8">
        <v>96</v>
      </c>
      <c r="M9" s="10">
        <v>5170</v>
      </c>
      <c r="N9" s="10">
        <f t="shared" si="2"/>
        <v>18000</v>
      </c>
    </row>
    <row r="10" spans="1:14" s="11" customFormat="1" ht="21" customHeight="1" x14ac:dyDescent="0.25">
      <c r="A10" s="8"/>
      <c r="B10" s="24"/>
      <c r="C10" s="6" t="s">
        <v>225</v>
      </c>
      <c r="D10" s="9" t="s">
        <v>1</v>
      </c>
      <c r="E10" s="8"/>
      <c r="F10" s="10">
        <v>3870</v>
      </c>
      <c r="G10" s="10">
        <f t="shared" si="1"/>
        <v>305770</v>
      </c>
      <c r="H10" s="8"/>
      <c r="I10" s="8">
        <v>92</v>
      </c>
      <c r="J10" s="6" t="s">
        <v>252</v>
      </c>
      <c r="K10" s="9" t="s">
        <v>0</v>
      </c>
      <c r="L10" s="8">
        <v>97</v>
      </c>
      <c r="M10" s="10">
        <v>7050</v>
      </c>
      <c r="N10" s="10">
        <f t="shared" si="2"/>
        <v>23170</v>
      </c>
    </row>
    <row r="11" spans="1:14" s="11" customFormat="1" ht="21" customHeight="1" x14ac:dyDescent="0.25">
      <c r="A11" s="8"/>
      <c r="B11" s="24"/>
      <c r="C11" s="6" t="s">
        <v>225</v>
      </c>
      <c r="D11" s="9" t="s">
        <v>1</v>
      </c>
      <c r="E11" s="8"/>
      <c r="F11" s="10">
        <v>2110</v>
      </c>
      <c r="G11" s="10">
        <f t="shared" si="1"/>
        <v>309640</v>
      </c>
      <c r="H11" s="8"/>
      <c r="I11" s="8">
        <v>93</v>
      </c>
      <c r="J11" s="6" t="s">
        <v>253</v>
      </c>
      <c r="K11" s="9" t="s">
        <v>0</v>
      </c>
      <c r="L11" s="8">
        <v>98</v>
      </c>
      <c r="M11" s="10">
        <v>4050</v>
      </c>
      <c r="N11" s="10">
        <f t="shared" si="2"/>
        <v>30220</v>
      </c>
    </row>
    <row r="12" spans="1:14" s="11" customFormat="1" ht="21" customHeight="1" x14ac:dyDescent="0.25">
      <c r="A12" s="8"/>
      <c r="B12" s="24"/>
      <c r="C12" s="6" t="s">
        <v>225</v>
      </c>
      <c r="D12" s="9" t="s">
        <v>1</v>
      </c>
      <c r="E12" s="8"/>
      <c r="F12" s="10">
        <v>9600</v>
      </c>
      <c r="G12" s="10">
        <f t="shared" si="1"/>
        <v>311750</v>
      </c>
      <c r="H12" s="8"/>
      <c r="I12" s="8">
        <v>94</v>
      </c>
      <c r="J12" s="6" t="s">
        <v>226</v>
      </c>
      <c r="K12" s="9" t="s">
        <v>0</v>
      </c>
      <c r="L12" s="8">
        <v>99</v>
      </c>
      <c r="M12" s="10">
        <v>5340</v>
      </c>
      <c r="N12" s="10">
        <f t="shared" si="2"/>
        <v>34270</v>
      </c>
    </row>
    <row r="13" spans="1:14" s="11" customFormat="1" ht="21" customHeight="1" x14ac:dyDescent="0.25">
      <c r="A13" s="8"/>
      <c r="B13" s="24"/>
      <c r="C13" s="24" t="s">
        <v>174</v>
      </c>
      <c r="D13" s="9" t="s">
        <v>1</v>
      </c>
      <c r="E13" s="8"/>
      <c r="F13" s="10">
        <v>21250</v>
      </c>
      <c r="G13" s="10">
        <f t="shared" si="1"/>
        <v>321350</v>
      </c>
      <c r="H13" s="8"/>
      <c r="I13" s="8">
        <v>95</v>
      </c>
      <c r="J13" s="6" t="s">
        <v>254</v>
      </c>
      <c r="K13" s="9" t="s">
        <v>0</v>
      </c>
      <c r="L13" s="8">
        <v>92</v>
      </c>
      <c r="M13" s="10">
        <v>50920</v>
      </c>
      <c r="N13" s="10">
        <f t="shared" si="2"/>
        <v>39610</v>
      </c>
    </row>
    <row r="14" spans="1:14" s="11" customFormat="1" ht="21" customHeight="1" x14ac:dyDescent="0.25">
      <c r="A14" s="8"/>
      <c r="B14" s="24"/>
      <c r="C14" s="24" t="s">
        <v>173</v>
      </c>
      <c r="D14" s="9" t="s">
        <v>1</v>
      </c>
      <c r="E14" s="8"/>
      <c r="F14" s="10">
        <v>12140</v>
      </c>
      <c r="G14" s="10">
        <f t="shared" si="1"/>
        <v>342600</v>
      </c>
      <c r="H14" s="8"/>
      <c r="I14" s="8">
        <v>96</v>
      </c>
      <c r="J14" s="6" t="s">
        <v>255</v>
      </c>
      <c r="K14" s="9" t="s">
        <v>0</v>
      </c>
      <c r="L14" s="8">
        <v>100</v>
      </c>
      <c r="M14" s="10">
        <v>2780</v>
      </c>
      <c r="N14" s="10">
        <f t="shared" si="2"/>
        <v>90530</v>
      </c>
    </row>
    <row r="15" spans="1:14" s="11" customFormat="1" ht="21" customHeight="1" x14ac:dyDescent="0.25">
      <c r="A15" s="10"/>
      <c r="B15" s="24"/>
      <c r="C15" s="24" t="s">
        <v>175</v>
      </c>
      <c r="D15" s="9" t="s">
        <v>1</v>
      </c>
      <c r="E15" s="8"/>
      <c r="F15" s="10">
        <v>15330</v>
      </c>
      <c r="G15" s="10">
        <f t="shared" si="1"/>
        <v>354740</v>
      </c>
      <c r="H15" s="10"/>
      <c r="I15" s="8">
        <v>97</v>
      </c>
      <c r="J15" s="6" t="s">
        <v>256</v>
      </c>
      <c r="K15" s="9" t="s">
        <v>0</v>
      </c>
      <c r="L15" s="8">
        <v>58</v>
      </c>
      <c r="M15" s="10">
        <v>5100</v>
      </c>
      <c r="N15" s="10">
        <f t="shared" si="2"/>
        <v>93310</v>
      </c>
    </row>
    <row r="16" spans="1:14" s="11" customFormat="1" ht="21" customHeight="1" x14ac:dyDescent="0.25">
      <c r="A16" s="10"/>
      <c r="B16" s="24"/>
      <c r="C16" s="24" t="s">
        <v>44</v>
      </c>
      <c r="D16" s="9" t="s">
        <v>1</v>
      </c>
      <c r="E16" s="8"/>
      <c r="F16" s="10">
        <v>4150</v>
      </c>
      <c r="G16" s="10">
        <f t="shared" si="1"/>
        <v>370070</v>
      </c>
      <c r="H16" s="10"/>
      <c r="I16" s="8">
        <v>98</v>
      </c>
      <c r="J16" s="6" t="s">
        <v>175</v>
      </c>
      <c r="K16" s="9" t="s">
        <v>0</v>
      </c>
      <c r="L16" s="8">
        <v>93</v>
      </c>
      <c r="M16" s="10">
        <v>29350</v>
      </c>
      <c r="N16" s="10">
        <f t="shared" si="2"/>
        <v>98410</v>
      </c>
    </row>
    <row r="17" spans="1:14" s="11" customFormat="1" ht="21" customHeight="1" x14ac:dyDescent="0.25">
      <c r="A17" s="10"/>
      <c r="B17" s="24"/>
      <c r="C17" s="24" t="s">
        <v>107</v>
      </c>
      <c r="D17" s="9" t="s">
        <v>1</v>
      </c>
      <c r="E17" s="8"/>
      <c r="F17" s="10">
        <v>3120</v>
      </c>
      <c r="G17" s="10">
        <f t="shared" si="1"/>
        <v>374220</v>
      </c>
      <c r="H17" s="10"/>
      <c r="I17" s="8">
        <v>99</v>
      </c>
      <c r="J17" s="6" t="s">
        <v>105</v>
      </c>
      <c r="K17" s="9" t="s">
        <v>0</v>
      </c>
      <c r="L17" s="8">
        <v>60</v>
      </c>
      <c r="M17" s="10">
        <v>3310</v>
      </c>
      <c r="N17" s="10">
        <f t="shared" si="2"/>
        <v>127760</v>
      </c>
    </row>
    <row r="18" spans="1:14" s="11" customFormat="1" ht="21" customHeight="1" x14ac:dyDescent="0.25">
      <c r="A18" s="10"/>
      <c r="B18" s="24"/>
      <c r="C18" s="24" t="s">
        <v>19</v>
      </c>
      <c r="D18" s="9" t="s">
        <v>1</v>
      </c>
      <c r="E18" s="8"/>
      <c r="F18" s="10">
        <v>5410</v>
      </c>
      <c r="G18" s="10">
        <f t="shared" si="1"/>
        <v>377340</v>
      </c>
      <c r="H18" s="10"/>
      <c r="I18" s="8">
        <v>100</v>
      </c>
      <c r="J18" s="6" t="s">
        <v>257</v>
      </c>
      <c r="K18" s="9" t="s">
        <v>0</v>
      </c>
      <c r="L18" s="8">
        <v>55</v>
      </c>
      <c r="M18" s="10">
        <v>3000</v>
      </c>
      <c r="N18" s="10">
        <f t="shared" si="2"/>
        <v>131070</v>
      </c>
    </row>
    <row r="19" spans="1:14" s="11" customFormat="1" ht="21" customHeight="1" x14ac:dyDescent="0.25">
      <c r="A19" s="10"/>
      <c r="B19" s="24"/>
      <c r="C19" s="24" t="s">
        <v>228</v>
      </c>
      <c r="D19" s="9" t="s">
        <v>1</v>
      </c>
      <c r="E19" s="8"/>
      <c r="F19" s="10">
        <v>2780</v>
      </c>
      <c r="G19" s="10">
        <f t="shared" si="1"/>
        <v>382750</v>
      </c>
      <c r="H19" s="10"/>
      <c r="I19" s="8">
        <v>101</v>
      </c>
      <c r="J19" s="6" t="s">
        <v>44</v>
      </c>
      <c r="K19" s="9" t="s">
        <v>0</v>
      </c>
      <c r="L19" s="8">
        <v>62</v>
      </c>
      <c r="M19" s="10">
        <v>3350</v>
      </c>
      <c r="N19" s="10">
        <f t="shared" si="2"/>
        <v>134070</v>
      </c>
    </row>
    <row r="20" spans="1:14" s="11" customFormat="1" ht="21" customHeight="1" x14ac:dyDescent="0.25">
      <c r="A20" s="10"/>
      <c r="B20" s="24"/>
      <c r="C20" s="24" t="s">
        <v>105</v>
      </c>
      <c r="D20" s="9" t="s">
        <v>1</v>
      </c>
      <c r="E20" s="8"/>
      <c r="F20" s="10">
        <v>1960</v>
      </c>
      <c r="G20" s="10">
        <f t="shared" si="1"/>
        <v>385530</v>
      </c>
      <c r="H20" s="10"/>
      <c r="I20" s="8">
        <v>102</v>
      </c>
      <c r="J20" s="6" t="s">
        <v>258</v>
      </c>
      <c r="K20" s="9" t="s">
        <v>0</v>
      </c>
      <c r="L20" s="8">
        <v>64</v>
      </c>
      <c r="M20" s="10">
        <v>3460</v>
      </c>
      <c r="N20" s="10">
        <f t="shared" si="2"/>
        <v>137420</v>
      </c>
    </row>
    <row r="21" spans="1:14" s="11" customFormat="1" ht="21" customHeight="1" x14ac:dyDescent="0.25">
      <c r="A21" s="10"/>
      <c r="B21" s="24"/>
      <c r="C21" s="24" t="s">
        <v>110</v>
      </c>
      <c r="D21" s="9" t="s">
        <v>1</v>
      </c>
      <c r="E21" s="8"/>
      <c r="F21" s="10">
        <v>2100</v>
      </c>
      <c r="G21" s="10">
        <f t="shared" si="1"/>
        <v>387490</v>
      </c>
      <c r="H21" s="10"/>
      <c r="I21" s="8">
        <v>103</v>
      </c>
      <c r="J21" s="6" t="s">
        <v>49</v>
      </c>
      <c r="K21" s="9" t="s">
        <v>0</v>
      </c>
      <c r="L21" s="8">
        <v>94</v>
      </c>
      <c r="M21" s="10">
        <v>3100</v>
      </c>
      <c r="N21" s="10">
        <f t="shared" si="2"/>
        <v>140880</v>
      </c>
    </row>
    <row r="22" spans="1:14" s="11" customFormat="1" ht="21" customHeight="1" x14ac:dyDescent="0.25">
      <c r="A22" s="10"/>
      <c r="B22" s="24"/>
      <c r="C22" s="24" t="s">
        <v>230</v>
      </c>
      <c r="D22" s="9" t="s">
        <v>1</v>
      </c>
      <c r="E22" s="8"/>
      <c r="F22" s="10">
        <v>3530</v>
      </c>
      <c r="G22" s="10">
        <f t="shared" si="1"/>
        <v>389590</v>
      </c>
      <c r="H22" s="10"/>
      <c r="I22" s="8">
        <v>104</v>
      </c>
      <c r="J22" s="6" t="s">
        <v>245</v>
      </c>
      <c r="K22" s="9" t="s">
        <v>0</v>
      </c>
      <c r="L22" s="8">
        <v>66</v>
      </c>
      <c r="M22" s="10">
        <v>6300</v>
      </c>
      <c r="N22" s="10">
        <f t="shared" si="2"/>
        <v>143980</v>
      </c>
    </row>
    <row r="23" spans="1:14" s="11" customFormat="1" ht="21" customHeight="1" x14ac:dyDescent="0.25">
      <c r="A23" s="10"/>
      <c r="B23" s="24"/>
      <c r="C23" s="24" t="s">
        <v>229</v>
      </c>
      <c r="D23" s="9" t="s">
        <v>1</v>
      </c>
      <c r="E23" s="8"/>
      <c r="F23" s="10">
        <v>8310</v>
      </c>
      <c r="G23" s="10">
        <f t="shared" si="1"/>
        <v>393120</v>
      </c>
      <c r="H23" s="10"/>
      <c r="I23" s="8">
        <v>105</v>
      </c>
      <c r="J23" s="6" t="s">
        <v>82</v>
      </c>
      <c r="K23" s="9" t="s">
        <v>0</v>
      </c>
      <c r="L23" s="8">
        <v>56</v>
      </c>
      <c r="M23" s="10">
        <v>31210</v>
      </c>
      <c r="N23" s="10">
        <f t="shared" si="2"/>
        <v>150280</v>
      </c>
    </row>
    <row r="24" spans="1:14" s="11" customFormat="1" ht="21" customHeight="1" x14ac:dyDescent="0.25">
      <c r="A24" s="10"/>
      <c r="B24" s="10"/>
      <c r="C24" s="24" t="s">
        <v>244</v>
      </c>
      <c r="D24" s="9" t="s">
        <v>1</v>
      </c>
      <c r="E24" s="8"/>
      <c r="F24" s="10">
        <v>2810</v>
      </c>
      <c r="G24" s="10">
        <f t="shared" si="1"/>
        <v>401430</v>
      </c>
      <c r="H24" s="10"/>
      <c r="I24" s="10"/>
      <c r="J24" s="6" t="s">
        <v>259</v>
      </c>
      <c r="K24" s="9" t="s">
        <v>0</v>
      </c>
      <c r="L24" s="8"/>
      <c r="M24" s="10">
        <v>550</v>
      </c>
      <c r="N24" s="10">
        <f t="shared" si="2"/>
        <v>181490</v>
      </c>
    </row>
    <row r="25" spans="1:14" s="11" customFormat="1" ht="21" customHeight="1" x14ac:dyDescent="0.25">
      <c r="A25" s="10"/>
      <c r="B25" s="10"/>
      <c r="C25" s="24" t="s">
        <v>227</v>
      </c>
      <c r="D25" s="9" t="s">
        <v>1</v>
      </c>
      <c r="E25" s="8"/>
      <c r="F25" s="10">
        <v>1610</v>
      </c>
      <c r="G25" s="10">
        <f t="shared" si="1"/>
        <v>404240</v>
      </c>
      <c r="H25" s="10"/>
      <c r="I25" s="10"/>
      <c r="J25" s="6"/>
      <c r="K25" s="9" t="s">
        <v>0</v>
      </c>
      <c r="L25" s="8"/>
      <c r="M25" s="10"/>
      <c r="N25" s="10">
        <f t="shared" si="2"/>
        <v>182040</v>
      </c>
    </row>
    <row r="26" spans="1:14" s="11" customFormat="1" ht="21" customHeight="1" x14ac:dyDescent="0.25">
      <c r="A26" s="10"/>
      <c r="B26" s="10"/>
      <c r="C26" s="24" t="s">
        <v>231</v>
      </c>
      <c r="D26" s="9" t="s">
        <v>1</v>
      </c>
      <c r="E26" s="8"/>
      <c r="F26" s="10">
        <v>1540</v>
      </c>
      <c r="G26" s="10">
        <f t="shared" si="1"/>
        <v>405850</v>
      </c>
      <c r="H26" s="10"/>
      <c r="I26" s="10"/>
      <c r="J26" s="6"/>
      <c r="K26" s="9" t="s">
        <v>0</v>
      </c>
      <c r="L26" s="8"/>
      <c r="M26" s="10"/>
      <c r="N26" s="10">
        <f t="shared" si="2"/>
        <v>182040</v>
      </c>
    </row>
    <row r="27" spans="1:14" s="11" customFormat="1" ht="21" customHeight="1" x14ac:dyDescent="0.25">
      <c r="A27" s="10"/>
      <c r="B27" s="10"/>
      <c r="C27" s="24" t="s">
        <v>245</v>
      </c>
      <c r="D27" s="9" t="s">
        <v>1</v>
      </c>
      <c r="E27" s="8"/>
      <c r="F27" s="10">
        <v>3820</v>
      </c>
      <c r="G27" s="10">
        <f t="shared" si="1"/>
        <v>407390</v>
      </c>
      <c r="H27" s="10"/>
      <c r="I27" s="10"/>
      <c r="J27" s="10"/>
      <c r="K27" s="9" t="s">
        <v>0</v>
      </c>
      <c r="L27" s="8"/>
      <c r="M27" s="10"/>
      <c r="N27" s="10">
        <f t="shared" si="2"/>
        <v>182040</v>
      </c>
    </row>
    <row r="28" spans="1:14" s="11" customFormat="1" ht="21" customHeight="1" x14ac:dyDescent="0.25">
      <c r="A28" s="10"/>
      <c r="B28" s="10"/>
      <c r="C28" s="24" t="s">
        <v>248</v>
      </c>
      <c r="D28" s="9" t="s">
        <v>1</v>
      </c>
      <c r="E28" s="8"/>
      <c r="F28" s="10">
        <v>2650</v>
      </c>
      <c r="G28" s="10">
        <f t="shared" si="1"/>
        <v>411210</v>
      </c>
      <c r="H28" s="10"/>
      <c r="I28" s="10"/>
      <c r="J28" s="10"/>
      <c r="K28" s="9" t="s">
        <v>0</v>
      </c>
      <c r="L28" s="8"/>
      <c r="M28" s="10"/>
      <c r="N28" s="10">
        <f t="shared" si="2"/>
        <v>182040</v>
      </c>
    </row>
    <row r="29" spans="1:14" s="11" customFormat="1" ht="21" customHeight="1" x14ac:dyDescent="0.25">
      <c r="A29" s="10"/>
      <c r="B29" s="10"/>
      <c r="C29" s="24"/>
      <c r="D29" s="9" t="s">
        <v>1</v>
      </c>
      <c r="E29" s="8"/>
      <c r="F29" s="10"/>
      <c r="G29" s="10">
        <f t="shared" si="1"/>
        <v>413860</v>
      </c>
      <c r="H29" s="10"/>
      <c r="I29" s="10"/>
      <c r="J29" s="6" t="s">
        <v>284</v>
      </c>
      <c r="K29" s="9" t="s">
        <v>0</v>
      </c>
      <c r="L29" s="8"/>
      <c r="M29" s="10"/>
      <c r="N29" s="10">
        <f t="shared" si="2"/>
        <v>182040</v>
      </c>
    </row>
    <row r="30" spans="1:14" s="11" customFormat="1" ht="21" customHeight="1" x14ac:dyDescent="0.25">
      <c r="A30" s="10"/>
      <c r="B30" s="10"/>
      <c r="C30" s="25"/>
      <c r="D30" s="9" t="s">
        <v>1</v>
      </c>
      <c r="E30" s="8"/>
      <c r="F30" s="10"/>
      <c r="G30" s="10">
        <f t="shared" si="1"/>
        <v>413860</v>
      </c>
      <c r="H30" s="10"/>
      <c r="I30" s="10"/>
      <c r="J30" s="23" t="s">
        <v>260</v>
      </c>
      <c r="K30" s="9" t="s">
        <v>0</v>
      </c>
      <c r="L30" s="8"/>
      <c r="M30" s="10"/>
      <c r="N30" s="10">
        <f t="shared" si="2"/>
        <v>182040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413860</v>
      </c>
      <c r="H31" s="10"/>
      <c r="I31" s="10"/>
      <c r="J31" s="6" t="s">
        <v>285</v>
      </c>
      <c r="K31" s="9" t="s">
        <v>0</v>
      </c>
      <c r="L31" s="8"/>
      <c r="M31" s="10"/>
      <c r="N31" s="10">
        <f t="shared" si="2"/>
        <v>182040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413860</v>
      </c>
      <c r="H32" s="10"/>
      <c r="I32" s="10"/>
      <c r="J32" s="23" t="s">
        <v>261</v>
      </c>
      <c r="K32" s="9" t="s">
        <v>0</v>
      </c>
      <c r="L32" s="8"/>
      <c r="M32" s="10"/>
      <c r="N32" s="10">
        <f t="shared" si="2"/>
        <v>182040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413860</v>
      </c>
      <c r="H33" s="10"/>
      <c r="I33" s="10"/>
      <c r="J33" s="6" t="s">
        <v>286</v>
      </c>
      <c r="K33" s="9" t="s">
        <v>0</v>
      </c>
      <c r="L33" s="8"/>
      <c r="M33" s="10"/>
      <c r="N33" s="10">
        <f t="shared" si="2"/>
        <v>182040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413860</v>
      </c>
      <c r="H34" s="10"/>
      <c r="I34" s="10"/>
      <c r="J34" s="6"/>
      <c r="K34" s="9" t="s">
        <v>0</v>
      </c>
      <c r="L34" s="10"/>
      <c r="M34" s="10"/>
      <c r="N34" s="10">
        <f t="shared" si="2"/>
        <v>182040</v>
      </c>
    </row>
    <row r="35" spans="1:14" ht="31.5" customHeight="1" x14ac:dyDescent="0.25">
      <c r="A35" s="46" t="s">
        <v>9</v>
      </c>
      <c r="B35" s="46"/>
      <c r="C35" s="47"/>
      <c r="D35" s="54">
        <f>G34+F34</f>
        <v>413860</v>
      </c>
      <c r="E35" s="54"/>
      <c r="F35" s="54"/>
      <c r="G35" s="54"/>
      <c r="H35" s="48" t="s">
        <v>10</v>
      </c>
      <c r="I35" s="48"/>
      <c r="J35" s="49"/>
      <c r="K35" s="54">
        <f>N34+M34</f>
        <v>182040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182040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231820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N46"/>
  <sheetViews>
    <sheetView view="pageBreakPreview" topLeftCell="A16" zoomScale="115" zoomScaleNormal="145" zoomScaleSheetLayoutView="115" zoomScalePageLayoutView="85" workbookViewId="0">
      <selection activeCell="J32" sqref="J32:J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262</v>
      </c>
      <c r="D3" s="58" t="s">
        <v>4</v>
      </c>
      <c r="E3" s="58"/>
      <c r="F3" s="17" t="s">
        <v>3</v>
      </c>
      <c r="G3" s="3">
        <v>45575</v>
      </c>
      <c r="H3" s="57" t="s">
        <v>8</v>
      </c>
      <c r="I3" s="57"/>
      <c r="J3" s="18" t="s">
        <v>262</v>
      </c>
      <c r="K3" s="62" t="s">
        <v>5</v>
      </c>
      <c r="L3" s="62"/>
      <c r="M3" s="17" t="s">
        <v>3</v>
      </c>
      <c r="N3" s="3">
        <v>45575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(9)'!D37</f>
        <v>231820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60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9660</v>
      </c>
      <c r="G5" s="10">
        <f>F4</f>
        <v>231820</v>
      </c>
      <c r="H5" s="8"/>
      <c r="I5" s="8"/>
      <c r="J5" s="6" t="s">
        <v>54</v>
      </c>
      <c r="K5" s="9" t="s">
        <v>0</v>
      </c>
      <c r="L5" s="8"/>
      <c r="M5" s="10">
        <v>320</v>
      </c>
      <c r="N5" s="10">
        <f>M4</f>
        <v>60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50</v>
      </c>
      <c r="G6" s="10">
        <f>G5+F5</f>
        <v>241480</v>
      </c>
      <c r="H6" s="8"/>
      <c r="I6" s="8"/>
      <c r="J6" s="6" t="s">
        <v>100</v>
      </c>
      <c r="K6" s="9" t="s">
        <v>0</v>
      </c>
      <c r="L6" s="8"/>
      <c r="M6" s="10">
        <v>500</v>
      </c>
      <c r="N6" s="10">
        <f t="shared" ref="N6" si="0">N5+M5</f>
        <v>380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50</v>
      </c>
      <c r="G7" s="10">
        <f t="shared" ref="G7:G33" si="1">G6+F6</f>
        <v>241530</v>
      </c>
      <c r="H7" s="8"/>
      <c r="I7" s="8">
        <v>106</v>
      </c>
      <c r="J7" s="6" t="s">
        <v>263</v>
      </c>
      <c r="K7" s="9" t="s">
        <v>0</v>
      </c>
      <c r="L7" s="8">
        <v>101</v>
      </c>
      <c r="M7" s="10">
        <v>2160</v>
      </c>
      <c r="N7" s="10">
        <f>N6+M6</f>
        <v>880</v>
      </c>
    </row>
    <row r="8" spans="1:14" s="11" customFormat="1" ht="21" customHeight="1" x14ac:dyDescent="0.25">
      <c r="A8" s="8"/>
      <c r="B8" s="8"/>
      <c r="C8" s="6" t="s">
        <v>174</v>
      </c>
      <c r="D8" s="9" t="s">
        <v>1</v>
      </c>
      <c r="E8" s="8"/>
      <c r="F8" s="10">
        <v>11350</v>
      </c>
      <c r="G8" s="10">
        <f t="shared" si="1"/>
        <v>241580</v>
      </c>
      <c r="H8" s="8"/>
      <c r="I8" s="8">
        <v>107</v>
      </c>
      <c r="J8" s="24" t="s">
        <v>264</v>
      </c>
      <c r="K8" s="9" t="s">
        <v>0</v>
      </c>
      <c r="L8" s="8">
        <v>102</v>
      </c>
      <c r="M8" s="10">
        <v>14190</v>
      </c>
      <c r="N8" s="10">
        <f t="shared" ref="N8:N34" si="2">N7+M7</f>
        <v>3040</v>
      </c>
    </row>
    <row r="9" spans="1:14" s="11" customFormat="1" ht="21" customHeight="1" x14ac:dyDescent="0.25">
      <c r="A9" s="8"/>
      <c r="B9" s="8"/>
      <c r="C9" s="6" t="s">
        <v>173</v>
      </c>
      <c r="D9" s="9" t="s">
        <v>1</v>
      </c>
      <c r="E9" s="8"/>
      <c r="F9" s="10">
        <v>61960</v>
      </c>
      <c r="G9" s="10">
        <f t="shared" si="1"/>
        <v>252930</v>
      </c>
      <c r="H9" s="8"/>
      <c r="I9" s="8">
        <v>108</v>
      </c>
      <c r="J9" s="6" t="s">
        <v>265</v>
      </c>
      <c r="K9" s="9" t="s">
        <v>0</v>
      </c>
      <c r="L9" s="8">
        <v>103</v>
      </c>
      <c r="M9" s="10">
        <v>31270</v>
      </c>
      <c r="N9" s="10">
        <f t="shared" si="2"/>
        <v>17230</v>
      </c>
    </row>
    <row r="10" spans="1:14" s="11" customFormat="1" ht="21" customHeight="1" x14ac:dyDescent="0.25">
      <c r="A10" s="8"/>
      <c r="B10" s="8"/>
      <c r="C10" s="6" t="s">
        <v>175</v>
      </c>
      <c r="D10" s="9" t="s">
        <v>1</v>
      </c>
      <c r="E10" s="8"/>
      <c r="F10" s="10">
        <v>30180</v>
      </c>
      <c r="G10" s="10">
        <f t="shared" si="1"/>
        <v>314890</v>
      </c>
      <c r="H10" s="8"/>
      <c r="I10" s="8">
        <v>109</v>
      </c>
      <c r="J10" s="6" t="s">
        <v>266</v>
      </c>
      <c r="K10" s="9" t="s">
        <v>0</v>
      </c>
      <c r="L10" s="8">
        <v>104</v>
      </c>
      <c r="M10" s="10">
        <v>15810</v>
      </c>
      <c r="N10" s="10">
        <f t="shared" si="2"/>
        <v>48500</v>
      </c>
    </row>
    <row r="11" spans="1:14" s="11" customFormat="1" ht="21" customHeight="1" x14ac:dyDescent="0.25">
      <c r="A11" s="8"/>
      <c r="B11" s="8"/>
      <c r="C11" s="6" t="s">
        <v>46</v>
      </c>
      <c r="D11" s="9" t="s">
        <v>1</v>
      </c>
      <c r="E11" s="8"/>
      <c r="F11" s="10">
        <v>6450</v>
      </c>
      <c r="G11" s="10">
        <f t="shared" si="1"/>
        <v>345070</v>
      </c>
      <c r="H11" s="8"/>
      <c r="I11" s="8">
        <v>110</v>
      </c>
      <c r="J11" s="6" t="s">
        <v>267</v>
      </c>
      <c r="K11" s="9" t="s">
        <v>0</v>
      </c>
      <c r="L11" s="8">
        <v>119</v>
      </c>
      <c r="M11" s="10">
        <v>2480</v>
      </c>
      <c r="N11" s="10">
        <f t="shared" si="2"/>
        <v>64310</v>
      </c>
    </row>
    <row r="12" spans="1:14" s="11" customFormat="1" ht="21" customHeight="1" x14ac:dyDescent="0.25">
      <c r="A12" s="8"/>
      <c r="B12" s="8"/>
      <c r="C12" s="6" t="s">
        <v>49</v>
      </c>
      <c r="D12" s="9" t="s">
        <v>1</v>
      </c>
      <c r="E12" s="8"/>
      <c r="F12" s="10">
        <v>20190</v>
      </c>
      <c r="G12" s="10">
        <f t="shared" si="1"/>
        <v>351520</v>
      </c>
      <c r="H12" s="8"/>
      <c r="I12" s="8">
        <v>111</v>
      </c>
      <c r="J12" s="6" t="s">
        <v>252</v>
      </c>
      <c r="K12" s="9" t="s">
        <v>0</v>
      </c>
      <c r="L12" s="8">
        <v>105</v>
      </c>
      <c r="M12" s="10">
        <v>10080</v>
      </c>
      <c r="N12" s="10">
        <f t="shared" si="2"/>
        <v>66790</v>
      </c>
    </row>
    <row r="13" spans="1:14" s="11" customFormat="1" ht="21" customHeight="1" x14ac:dyDescent="0.25">
      <c r="A13" s="8"/>
      <c r="B13" s="8"/>
      <c r="C13" s="6" t="s">
        <v>43</v>
      </c>
      <c r="D13" s="9" t="s">
        <v>1</v>
      </c>
      <c r="E13" s="8"/>
      <c r="F13" s="10">
        <v>3950</v>
      </c>
      <c r="G13" s="10">
        <f t="shared" si="1"/>
        <v>371710</v>
      </c>
      <c r="H13" s="8"/>
      <c r="I13" s="8">
        <v>112</v>
      </c>
      <c r="J13" s="24" t="s">
        <v>228</v>
      </c>
      <c r="K13" s="9" t="s">
        <v>0</v>
      </c>
      <c r="L13" s="8">
        <v>106</v>
      </c>
      <c r="M13" s="10">
        <v>10390</v>
      </c>
      <c r="N13" s="10">
        <f t="shared" si="2"/>
        <v>76870</v>
      </c>
    </row>
    <row r="14" spans="1:14" s="11" customFormat="1" ht="21" customHeight="1" x14ac:dyDescent="0.25">
      <c r="A14" s="8"/>
      <c r="B14" s="8"/>
      <c r="C14" s="6" t="s">
        <v>108</v>
      </c>
      <c r="D14" s="9" t="s">
        <v>1</v>
      </c>
      <c r="E14" s="8"/>
      <c r="F14" s="10">
        <v>1330</v>
      </c>
      <c r="G14" s="10">
        <f t="shared" si="1"/>
        <v>375660</v>
      </c>
      <c r="H14" s="8"/>
      <c r="I14" s="8">
        <v>113</v>
      </c>
      <c r="J14" s="6" t="s">
        <v>268</v>
      </c>
      <c r="K14" s="9" t="s">
        <v>0</v>
      </c>
      <c r="L14" s="8">
        <v>107</v>
      </c>
      <c r="M14" s="10">
        <v>6430</v>
      </c>
      <c r="N14" s="10">
        <f t="shared" si="2"/>
        <v>87260</v>
      </c>
    </row>
    <row r="15" spans="1:14" s="11" customFormat="1" ht="21" customHeight="1" x14ac:dyDescent="0.25">
      <c r="A15" s="10"/>
      <c r="B15" s="10"/>
      <c r="C15" s="6" t="s">
        <v>279</v>
      </c>
      <c r="D15" s="9" t="s">
        <v>1</v>
      </c>
      <c r="E15" s="8"/>
      <c r="F15" s="10">
        <v>9490</v>
      </c>
      <c r="G15" s="10">
        <f t="shared" si="1"/>
        <v>376990</v>
      </c>
      <c r="H15" s="10"/>
      <c r="I15" s="8">
        <v>114</v>
      </c>
      <c r="J15" s="6" t="s">
        <v>269</v>
      </c>
      <c r="K15" s="9" t="s">
        <v>0</v>
      </c>
      <c r="L15" s="8">
        <v>109</v>
      </c>
      <c r="M15" s="10">
        <v>2590</v>
      </c>
      <c r="N15" s="10">
        <f t="shared" si="2"/>
        <v>93690</v>
      </c>
    </row>
    <row r="16" spans="1:14" s="11" customFormat="1" ht="21" customHeight="1" x14ac:dyDescent="0.25">
      <c r="A16" s="10"/>
      <c r="B16" s="10"/>
      <c r="C16" s="6" t="s">
        <v>51</v>
      </c>
      <c r="D16" s="9" t="s">
        <v>1</v>
      </c>
      <c r="E16" s="8"/>
      <c r="F16" s="10">
        <v>2360</v>
      </c>
      <c r="G16" s="10">
        <f t="shared" si="1"/>
        <v>386480</v>
      </c>
      <c r="H16" s="10"/>
      <c r="I16" s="8">
        <v>115</v>
      </c>
      <c r="J16" s="6" t="s">
        <v>105</v>
      </c>
      <c r="K16" s="9" t="s">
        <v>0</v>
      </c>
      <c r="L16" s="8">
        <v>110</v>
      </c>
      <c r="M16" s="10">
        <v>7080</v>
      </c>
      <c r="N16" s="10">
        <f t="shared" si="2"/>
        <v>96280</v>
      </c>
    </row>
    <row r="17" spans="1:14" s="11" customFormat="1" ht="21" customHeight="1" x14ac:dyDescent="0.25">
      <c r="A17" s="10"/>
      <c r="B17" s="10"/>
      <c r="C17" s="6" t="s">
        <v>245</v>
      </c>
      <c r="D17" s="9" t="s">
        <v>1</v>
      </c>
      <c r="E17" s="8"/>
      <c r="F17" s="10">
        <v>6300</v>
      </c>
      <c r="G17" s="10">
        <f t="shared" si="1"/>
        <v>388840</v>
      </c>
      <c r="H17" s="10"/>
      <c r="I17" s="8">
        <v>116</v>
      </c>
      <c r="J17" s="6" t="s">
        <v>270</v>
      </c>
      <c r="K17" s="9" t="s">
        <v>0</v>
      </c>
      <c r="L17" s="8">
        <v>111</v>
      </c>
      <c r="M17" s="10">
        <v>1070</v>
      </c>
      <c r="N17" s="10">
        <f t="shared" si="2"/>
        <v>103360</v>
      </c>
    </row>
    <row r="18" spans="1:14" s="11" customFormat="1" ht="21" customHeight="1" x14ac:dyDescent="0.25">
      <c r="A18" s="10"/>
      <c r="B18" s="10"/>
      <c r="C18" s="6" t="s">
        <v>258</v>
      </c>
      <c r="D18" s="9" t="s">
        <v>1</v>
      </c>
      <c r="E18" s="8"/>
      <c r="F18" s="10">
        <v>3460</v>
      </c>
      <c r="G18" s="10">
        <f t="shared" si="1"/>
        <v>395140</v>
      </c>
      <c r="H18" s="10"/>
      <c r="I18" s="8">
        <v>117</v>
      </c>
      <c r="J18" s="6" t="s">
        <v>271</v>
      </c>
      <c r="K18" s="9" t="s">
        <v>0</v>
      </c>
      <c r="L18" s="8">
        <v>112</v>
      </c>
      <c r="M18" s="10">
        <v>1690</v>
      </c>
      <c r="N18" s="10">
        <f t="shared" si="2"/>
        <v>104430</v>
      </c>
    </row>
    <row r="19" spans="1:14" s="11" customFormat="1" ht="21" customHeight="1" x14ac:dyDescent="0.25">
      <c r="A19" s="10"/>
      <c r="B19" s="10"/>
      <c r="C19" s="6" t="s">
        <v>105</v>
      </c>
      <c r="D19" s="9" t="s">
        <v>1</v>
      </c>
      <c r="E19" s="8"/>
      <c r="F19" s="10">
        <v>3310</v>
      </c>
      <c r="G19" s="10">
        <f t="shared" si="1"/>
        <v>398600</v>
      </c>
      <c r="H19" s="10"/>
      <c r="I19" s="8">
        <v>118</v>
      </c>
      <c r="J19" s="6" t="s">
        <v>272</v>
      </c>
      <c r="K19" s="9" t="s">
        <v>0</v>
      </c>
      <c r="L19" s="8">
        <v>113</v>
      </c>
      <c r="M19" s="10">
        <v>6710</v>
      </c>
      <c r="N19" s="10">
        <f t="shared" si="2"/>
        <v>106120</v>
      </c>
    </row>
    <row r="20" spans="1:14" s="11" customFormat="1" ht="21" customHeight="1" x14ac:dyDescent="0.25">
      <c r="A20" s="10"/>
      <c r="B20" s="10"/>
      <c r="C20" s="6" t="s">
        <v>280</v>
      </c>
      <c r="D20" s="9" t="s">
        <v>1</v>
      </c>
      <c r="E20" s="8"/>
      <c r="F20" s="10">
        <v>2780</v>
      </c>
      <c r="G20" s="10">
        <f t="shared" si="1"/>
        <v>401910</v>
      </c>
      <c r="H20" s="10"/>
      <c r="I20" s="8">
        <v>119</v>
      </c>
      <c r="J20" s="6" t="s">
        <v>273</v>
      </c>
      <c r="K20" s="9" t="s">
        <v>0</v>
      </c>
      <c r="L20" s="8">
        <v>114</v>
      </c>
      <c r="M20" s="10">
        <v>8170</v>
      </c>
      <c r="N20" s="10">
        <f t="shared" si="2"/>
        <v>112830</v>
      </c>
    </row>
    <row r="21" spans="1:14" s="11" customFormat="1" ht="21" customHeight="1" x14ac:dyDescent="0.25">
      <c r="A21" s="10"/>
      <c r="B21" s="10"/>
      <c r="C21" s="6" t="s">
        <v>281</v>
      </c>
      <c r="D21" s="9" t="s">
        <v>1</v>
      </c>
      <c r="E21" s="8"/>
      <c r="F21" s="10">
        <v>4050</v>
      </c>
      <c r="G21" s="10">
        <f t="shared" si="1"/>
        <v>404690</v>
      </c>
      <c r="H21" s="10"/>
      <c r="I21" s="8">
        <v>120</v>
      </c>
      <c r="J21" s="6" t="s">
        <v>274</v>
      </c>
      <c r="K21" s="9" t="s">
        <v>0</v>
      </c>
      <c r="L21" s="8">
        <v>115</v>
      </c>
      <c r="M21" s="10">
        <v>6670</v>
      </c>
      <c r="N21" s="10">
        <f t="shared" si="2"/>
        <v>121000</v>
      </c>
    </row>
    <row r="22" spans="1:14" s="11" customFormat="1" ht="21" customHeight="1" x14ac:dyDescent="0.25">
      <c r="A22" s="10"/>
      <c r="B22" s="10"/>
      <c r="C22" s="6" t="s">
        <v>110</v>
      </c>
      <c r="D22" s="9" t="s">
        <v>1</v>
      </c>
      <c r="E22" s="8"/>
      <c r="F22" s="10">
        <v>7050</v>
      </c>
      <c r="G22" s="10">
        <f t="shared" si="1"/>
        <v>408740</v>
      </c>
      <c r="H22" s="10"/>
      <c r="I22" s="8">
        <v>121</v>
      </c>
      <c r="J22" s="6" t="s">
        <v>19</v>
      </c>
      <c r="K22" s="9" t="s">
        <v>0</v>
      </c>
      <c r="L22" s="8">
        <v>116</v>
      </c>
      <c r="M22" s="10">
        <v>4490</v>
      </c>
      <c r="N22" s="10">
        <f t="shared" si="2"/>
        <v>127670</v>
      </c>
    </row>
    <row r="23" spans="1:14" s="11" customFormat="1" ht="21" customHeight="1" x14ac:dyDescent="0.25">
      <c r="A23" s="10"/>
      <c r="B23" s="10"/>
      <c r="C23" s="6" t="s">
        <v>111</v>
      </c>
      <c r="D23" s="9" t="s">
        <v>1</v>
      </c>
      <c r="E23" s="8"/>
      <c r="F23" s="10">
        <v>5170</v>
      </c>
      <c r="G23" s="10">
        <f t="shared" si="1"/>
        <v>415790</v>
      </c>
      <c r="H23" s="10"/>
      <c r="I23" s="8">
        <v>122</v>
      </c>
      <c r="J23" s="6" t="s">
        <v>275</v>
      </c>
      <c r="K23" s="9" t="s">
        <v>0</v>
      </c>
      <c r="L23" s="8">
        <v>117</v>
      </c>
      <c r="M23" s="10">
        <v>3350</v>
      </c>
      <c r="N23" s="10">
        <f t="shared" si="2"/>
        <v>132160</v>
      </c>
    </row>
    <row r="24" spans="1:14" s="11" customFormat="1" ht="21" customHeight="1" x14ac:dyDescent="0.25">
      <c r="A24" s="10"/>
      <c r="B24" s="10"/>
      <c r="C24" s="6" t="s">
        <v>19</v>
      </c>
      <c r="D24" s="9" t="s">
        <v>1</v>
      </c>
      <c r="E24" s="8"/>
      <c r="F24" s="10">
        <v>6760</v>
      </c>
      <c r="G24" s="10">
        <f t="shared" si="1"/>
        <v>420960</v>
      </c>
      <c r="H24" s="10"/>
      <c r="I24" s="8">
        <v>123</v>
      </c>
      <c r="J24" s="6" t="s">
        <v>276</v>
      </c>
      <c r="K24" s="9" t="s">
        <v>0</v>
      </c>
      <c r="L24" s="8">
        <v>118</v>
      </c>
      <c r="M24" s="10">
        <v>6720</v>
      </c>
      <c r="N24" s="10">
        <f t="shared" si="2"/>
        <v>135510</v>
      </c>
    </row>
    <row r="25" spans="1:14" s="11" customFormat="1" ht="21" customHeight="1" x14ac:dyDescent="0.25">
      <c r="A25" s="10"/>
      <c r="B25" s="10"/>
      <c r="C25" s="6" t="s">
        <v>82</v>
      </c>
      <c r="D25" s="9" t="s">
        <v>1</v>
      </c>
      <c r="E25" s="8"/>
      <c r="F25" s="10">
        <v>79620</v>
      </c>
      <c r="G25" s="10">
        <f t="shared" si="1"/>
        <v>427720</v>
      </c>
      <c r="H25" s="10"/>
      <c r="I25" s="8">
        <v>124</v>
      </c>
      <c r="J25" s="6" t="s">
        <v>18</v>
      </c>
      <c r="K25" s="9" t="s">
        <v>0</v>
      </c>
      <c r="L25" s="8">
        <v>120</v>
      </c>
      <c r="M25" s="10">
        <v>13810</v>
      </c>
      <c r="N25" s="10">
        <f t="shared" si="2"/>
        <v>142230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507340</v>
      </c>
      <c r="H26" s="10"/>
      <c r="I26" s="8">
        <v>125</v>
      </c>
      <c r="J26" s="6" t="s">
        <v>111</v>
      </c>
      <c r="K26" s="9" t="s">
        <v>0</v>
      </c>
      <c r="L26" s="8">
        <v>121</v>
      </c>
      <c r="M26" s="10">
        <v>4710</v>
      </c>
      <c r="N26" s="10">
        <f t="shared" si="2"/>
        <v>156040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507340</v>
      </c>
      <c r="H27" s="10"/>
      <c r="I27" s="8">
        <v>126</v>
      </c>
      <c r="J27" s="6" t="s">
        <v>277</v>
      </c>
      <c r="K27" s="9" t="s">
        <v>0</v>
      </c>
      <c r="L27" s="8">
        <v>122</v>
      </c>
      <c r="M27" s="10">
        <v>2020</v>
      </c>
      <c r="N27" s="10">
        <f t="shared" si="2"/>
        <v>160750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507340</v>
      </c>
      <c r="H28" s="10"/>
      <c r="I28" s="8">
        <v>127</v>
      </c>
      <c r="J28" s="6" t="s">
        <v>278</v>
      </c>
      <c r="K28" s="9" t="s">
        <v>0</v>
      </c>
      <c r="L28" s="8">
        <v>71</v>
      </c>
      <c r="M28" s="10">
        <v>100</v>
      </c>
      <c r="N28" s="10">
        <f t="shared" si="2"/>
        <v>162770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507340</v>
      </c>
      <c r="H29" s="10"/>
      <c r="I29" s="8">
        <v>128</v>
      </c>
      <c r="J29" s="6" t="s">
        <v>82</v>
      </c>
      <c r="K29" s="9" t="s">
        <v>0</v>
      </c>
      <c r="L29" s="8">
        <v>72</v>
      </c>
      <c r="M29" s="10">
        <v>79620</v>
      </c>
      <c r="N29" s="10">
        <f t="shared" si="2"/>
        <v>162870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507340</v>
      </c>
      <c r="H30" s="10"/>
      <c r="I30" s="10"/>
      <c r="J30" s="6" t="s">
        <v>259</v>
      </c>
      <c r="K30" s="9" t="s">
        <v>0</v>
      </c>
      <c r="L30" s="8"/>
      <c r="M30" s="10">
        <v>440</v>
      </c>
      <c r="N30" s="10">
        <f t="shared" si="2"/>
        <v>242490</v>
      </c>
    </row>
    <row r="31" spans="1:14" s="11" customFormat="1" ht="21" customHeight="1" x14ac:dyDescent="0.25">
      <c r="A31" s="10"/>
      <c r="B31" s="10"/>
      <c r="C31" s="10"/>
      <c r="D31" s="9" t="s">
        <v>1</v>
      </c>
      <c r="E31" s="8"/>
      <c r="F31" s="10"/>
      <c r="G31" s="10">
        <f t="shared" si="1"/>
        <v>507340</v>
      </c>
      <c r="H31" s="10"/>
      <c r="I31" s="10"/>
      <c r="J31" s="10"/>
      <c r="K31" s="9" t="s">
        <v>0</v>
      </c>
      <c r="L31" s="8"/>
      <c r="M31" s="10"/>
      <c r="N31" s="10">
        <f t="shared" si="2"/>
        <v>242930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507340</v>
      </c>
      <c r="H32" s="10"/>
      <c r="I32" s="10"/>
      <c r="J32" s="6" t="s">
        <v>287</v>
      </c>
      <c r="K32" s="9" t="s">
        <v>0</v>
      </c>
      <c r="L32" s="8"/>
      <c r="M32" s="10"/>
      <c r="N32" s="10">
        <f t="shared" si="2"/>
        <v>242930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507340</v>
      </c>
      <c r="H33" s="10"/>
      <c r="I33" s="10"/>
      <c r="J33" s="23" t="s">
        <v>282</v>
      </c>
      <c r="K33" s="9" t="s">
        <v>0</v>
      </c>
      <c r="L33" s="8"/>
      <c r="M33" s="10"/>
      <c r="N33" s="10">
        <f t="shared" si="2"/>
        <v>242930</v>
      </c>
    </row>
    <row r="34" spans="1:14" s="11" customFormat="1" ht="21" customHeight="1" x14ac:dyDescent="0.25">
      <c r="A34" s="10"/>
      <c r="B34" s="10"/>
      <c r="C34" s="10">
        <v>264860</v>
      </c>
      <c r="D34" s="9" t="s">
        <v>1</v>
      </c>
      <c r="E34" s="10"/>
      <c r="F34" s="10"/>
      <c r="G34" s="10">
        <f>G33+F33</f>
        <v>507340</v>
      </c>
      <c r="H34" s="10"/>
      <c r="I34" s="10"/>
      <c r="J34" s="6" t="s">
        <v>288</v>
      </c>
      <c r="K34" s="9" t="s">
        <v>0</v>
      </c>
      <c r="L34" s="10"/>
      <c r="M34" s="10"/>
      <c r="N34" s="10">
        <f t="shared" si="2"/>
        <v>242930</v>
      </c>
    </row>
    <row r="35" spans="1:14" ht="31.5" customHeight="1" x14ac:dyDescent="0.25">
      <c r="A35" s="46" t="s">
        <v>9</v>
      </c>
      <c r="B35" s="46"/>
      <c r="C35" s="47"/>
      <c r="D35" s="54">
        <f>G34+F34</f>
        <v>507340</v>
      </c>
      <c r="E35" s="54"/>
      <c r="F35" s="54"/>
      <c r="G35" s="54"/>
      <c r="H35" s="48" t="s">
        <v>10</v>
      </c>
      <c r="I35" s="48"/>
      <c r="J35" s="49"/>
      <c r="K35" s="54">
        <f>N34+M34</f>
        <v>242930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242930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264410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N46"/>
  <sheetViews>
    <sheetView view="pageBreakPreview" topLeftCell="B16" zoomScale="115" zoomScaleNormal="145" zoomScaleSheetLayoutView="115" zoomScalePageLayoutView="85" workbookViewId="0">
      <selection activeCell="C32" sqref="C32:C3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13</v>
      </c>
      <c r="D3" s="58" t="s">
        <v>4</v>
      </c>
      <c r="E3" s="58"/>
      <c r="F3" s="17" t="s">
        <v>3</v>
      </c>
      <c r="G3" s="3">
        <v>45576</v>
      </c>
      <c r="H3" s="57" t="s">
        <v>8</v>
      </c>
      <c r="I3" s="57"/>
      <c r="J3" s="18" t="s">
        <v>13</v>
      </c>
      <c r="K3" s="62" t="s">
        <v>5</v>
      </c>
      <c r="L3" s="62"/>
      <c r="M3" s="17" t="s">
        <v>3</v>
      </c>
      <c r="N3" s="3">
        <v>45576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(10)'!D37</f>
        <v>264410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130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10490</v>
      </c>
      <c r="G5" s="10">
        <f>F4</f>
        <v>264410</v>
      </c>
      <c r="H5" s="8"/>
      <c r="I5" s="8"/>
      <c r="J5" s="6" t="s">
        <v>54</v>
      </c>
      <c r="K5" s="9" t="s">
        <v>0</v>
      </c>
      <c r="L5" s="8"/>
      <c r="M5" s="10">
        <v>440</v>
      </c>
      <c r="N5" s="10">
        <f>M4</f>
        <v>130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80</v>
      </c>
      <c r="G6" s="10">
        <f>G5+F5</f>
        <v>274900</v>
      </c>
      <c r="H6" s="8"/>
      <c r="I6" s="8"/>
      <c r="J6" s="6" t="s">
        <v>100</v>
      </c>
      <c r="K6" s="9" t="s">
        <v>0</v>
      </c>
      <c r="L6" s="8"/>
      <c r="M6" s="10">
        <v>500</v>
      </c>
      <c r="N6" s="10">
        <f t="shared" ref="N6" si="0">N5+M5</f>
        <v>570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80</v>
      </c>
      <c r="G7" s="10">
        <f t="shared" ref="G7:G33" si="1">G6+F6</f>
        <v>274980</v>
      </c>
      <c r="H7" s="8"/>
      <c r="I7" s="8">
        <v>130</v>
      </c>
      <c r="J7" s="6" t="s">
        <v>43</v>
      </c>
      <c r="K7" s="9" t="s">
        <v>0</v>
      </c>
      <c r="L7" s="8">
        <v>124</v>
      </c>
      <c r="M7" s="10">
        <v>70650</v>
      </c>
      <c r="N7" s="10">
        <f>N6+M6</f>
        <v>1070</v>
      </c>
    </row>
    <row r="8" spans="1:14" s="11" customFormat="1" ht="21" customHeight="1" x14ac:dyDescent="0.25">
      <c r="A8" s="8"/>
      <c r="B8" s="8"/>
      <c r="C8" s="6" t="s">
        <v>48</v>
      </c>
      <c r="D8" s="9" t="s">
        <v>1</v>
      </c>
      <c r="E8" s="8"/>
      <c r="F8" s="10">
        <v>2480</v>
      </c>
      <c r="G8" s="10">
        <f t="shared" si="1"/>
        <v>275060</v>
      </c>
      <c r="H8" s="8"/>
      <c r="I8" s="8">
        <v>131</v>
      </c>
      <c r="J8" s="6" t="s">
        <v>46</v>
      </c>
      <c r="K8" s="9" t="s">
        <v>0</v>
      </c>
      <c r="L8" s="8">
        <v>128</v>
      </c>
      <c r="M8" s="10">
        <v>9290</v>
      </c>
      <c r="N8" s="10">
        <f t="shared" ref="N8:N34" si="2">N7+M7</f>
        <v>71720</v>
      </c>
    </row>
    <row r="9" spans="1:14" s="11" customFormat="1" ht="21" customHeight="1" x14ac:dyDescent="0.25">
      <c r="A9" s="8"/>
      <c r="B9" s="8"/>
      <c r="C9" s="6" t="s">
        <v>49</v>
      </c>
      <c r="D9" s="9" t="s">
        <v>1</v>
      </c>
      <c r="E9" s="8"/>
      <c r="F9" s="10">
        <v>15500</v>
      </c>
      <c r="G9" s="10">
        <f t="shared" si="1"/>
        <v>277540</v>
      </c>
      <c r="H9" s="8"/>
      <c r="I9" s="8">
        <v>132</v>
      </c>
      <c r="J9" s="6" t="s">
        <v>48</v>
      </c>
      <c r="K9" s="9" t="s">
        <v>0</v>
      </c>
      <c r="L9" s="8">
        <v>138</v>
      </c>
      <c r="M9" s="10">
        <v>4030</v>
      </c>
      <c r="N9" s="10">
        <f t="shared" si="2"/>
        <v>81010</v>
      </c>
    </row>
    <row r="10" spans="1:14" s="11" customFormat="1" ht="21" customHeight="1" x14ac:dyDescent="0.25">
      <c r="A10" s="8"/>
      <c r="B10" s="8"/>
      <c r="C10" s="6" t="s">
        <v>51</v>
      </c>
      <c r="D10" s="9" t="s">
        <v>1</v>
      </c>
      <c r="E10" s="8"/>
      <c r="F10" s="10">
        <v>1070</v>
      </c>
      <c r="G10" s="10">
        <f t="shared" si="1"/>
        <v>293040</v>
      </c>
      <c r="H10" s="8"/>
      <c r="I10" s="8">
        <v>133</v>
      </c>
      <c r="J10" s="6" t="s">
        <v>49</v>
      </c>
      <c r="K10" s="9" t="s">
        <v>0</v>
      </c>
      <c r="L10" s="8">
        <v>127</v>
      </c>
      <c r="M10" s="10">
        <v>22060</v>
      </c>
      <c r="N10" s="10">
        <f t="shared" si="2"/>
        <v>85040</v>
      </c>
    </row>
    <row r="11" spans="1:14" s="11" customFormat="1" ht="21" customHeight="1" x14ac:dyDescent="0.25">
      <c r="A11" s="8"/>
      <c r="B11" s="8"/>
      <c r="C11" s="6" t="s">
        <v>44</v>
      </c>
      <c r="D11" s="9" t="s">
        <v>1</v>
      </c>
      <c r="E11" s="8"/>
      <c r="F11" s="10">
        <v>3350</v>
      </c>
      <c r="G11" s="10">
        <f t="shared" si="1"/>
        <v>294110</v>
      </c>
      <c r="H11" s="8"/>
      <c r="I11" s="8">
        <v>134</v>
      </c>
      <c r="J11" s="6" t="s">
        <v>289</v>
      </c>
      <c r="K11" s="9" t="s">
        <v>0</v>
      </c>
      <c r="L11" s="8">
        <v>123</v>
      </c>
      <c r="M11" s="10">
        <v>5920</v>
      </c>
      <c r="N11" s="10">
        <f t="shared" si="2"/>
        <v>107100</v>
      </c>
    </row>
    <row r="12" spans="1:14" s="11" customFormat="1" ht="21" customHeight="1" x14ac:dyDescent="0.25">
      <c r="A12" s="8"/>
      <c r="B12" s="8"/>
      <c r="C12" s="6" t="s">
        <v>269</v>
      </c>
      <c r="D12" s="9" t="s">
        <v>1</v>
      </c>
      <c r="E12" s="8"/>
      <c r="F12" s="10">
        <v>2590</v>
      </c>
      <c r="G12" s="10">
        <f t="shared" si="1"/>
        <v>297460</v>
      </c>
      <c r="H12" s="8"/>
      <c r="I12" s="8">
        <v>135</v>
      </c>
      <c r="J12" s="6" t="s">
        <v>50</v>
      </c>
      <c r="K12" s="9" t="s">
        <v>0</v>
      </c>
      <c r="L12" s="8">
        <v>144</v>
      </c>
      <c r="M12" s="10">
        <v>2800</v>
      </c>
      <c r="N12" s="10">
        <f t="shared" si="2"/>
        <v>113020</v>
      </c>
    </row>
    <row r="13" spans="1:14" s="11" customFormat="1" ht="21" customHeight="1" x14ac:dyDescent="0.25">
      <c r="A13" s="8"/>
      <c r="B13" s="8"/>
      <c r="C13" s="6" t="s">
        <v>19</v>
      </c>
      <c r="D13" s="9" t="s">
        <v>1</v>
      </c>
      <c r="E13" s="8"/>
      <c r="F13" s="10">
        <v>4490</v>
      </c>
      <c r="G13" s="10">
        <f t="shared" si="1"/>
        <v>300050</v>
      </c>
      <c r="H13" s="8"/>
      <c r="I13" s="8">
        <v>136</v>
      </c>
      <c r="J13" s="6" t="s">
        <v>44</v>
      </c>
      <c r="K13" s="9" t="s">
        <v>0</v>
      </c>
      <c r="L13" s="8">
        <v>132</v>
      </c>
      <c r="M13" s="10">
        <v>4150</v>
      </c>
      <c r="N13" s="10">
        <f t="shared" si="2"/>
        <v>115820</v>
      </c>
    </row>
    <row r="14" spans="1:14" s="11" customFormat="1" ht="21" customHeight="1" x14ac:dyDescent="0.25">
      <c r="A14" s="8"/>
      <c r="B14" s="8"/>
      <c r="C14" s="6" t="s">
        <v>18</v>
      </c>
      <c r="D14" s="9" t="s">
        <v>1</v>
      </c>
      <c r="E14" s="8"/>
      <c r="F14" s="10">
        <v>13810</v>
      </c>
      <c r="G14" s="10">
        <f t="shared" si="1"/>
        <v>304540</v>
      </c>
      <c r="H14" s="8"/>
      <c r="I14" s="8">
        <v>137</v>
      </c>
      <c r="J14" s="6" t="s">
        <v>19</v>
      </c>
      <c r="K14" s="9" t="s">
        <v>0</v>
      </c>
      <c r="L14" s="8">
        <v>141</v>
      </c>
      <c r="M14" s="10">
        <v>21160</v>
      </c>
      <c r="N14" s="10">
        <f t="shared" si="2"/>
        <v>119970</v>
      </c>
    </row>
    <row r="15" spans="1:14" s="11" customFormat="1" ht="21" customHeight="1" x14ac:dyDescent="0.25">
      <c r="A15" s="10"/>
      <c r="B15" s="10"/>
      <c r="C15" s="6" t="s">
        <v>272</v>
      </c>
      <c r="D15" s="9" t="s">
        <v>1</v>
      </c>
      <c r="E15" s="8"/>
      <c r="F15" s="10">
        <v>6710</v>
      </c>
      <c r="G15" s="10">
        <f t="shared" si="1"/>
        <v>318350</v>
      </c>
      <c r="H15" s="10"/>
      <c r="I15" s="8">
        <v>138</v>
      </c>
      <c r="J15" s="6" t="s">
        <v>18</v>
      </c>
      <c r="K15" s="9" t="s">
        <v>0</v>
      </c>
      <c r="L15" s="8">
        <v>131</v>
      </c>
      <c r="M15" s="10">
        <v>13830</v>
      </c>
      <c r="N15" s="10">
        <f t="shared" si="2"/>
        <v>141130</v>
      </c>
    </row>
    <row r="16" spans="1:14" s="11" customFormat="1" ht="21" customHeight="1" x14ac:dyDescent="0.25">
      <c r="A16" s="10"/>
      <c r="B16" s="10"/>
      <c r="C16" s="6" t="s">
        <v>87</v>
      </c>
      <c r="D16" s="9" t="s">
        <v>1</v>
      </c>
      <c r="E16" s="8"/>
      <c r="F16" s="10">
        <v>10390</v>
      </c>
      <c r="G16" s="10">
        <f t="shared" si="1"/>
        <v>325060</v>
      </c>
      <c r="H16" s="10"/>
      <c r="I16" s="8">
        <v>139</v>
      </c>
      <c r="J16" s="6" t="s">
        <v>272</v>
      </c>
      <c r="K16" s="9" t="s">
        <v>0</v>
      </c>
      <c r="L16" s="8">
        <v>139</v>
      </c>
      <c r="M16" s="10">
        <v>2020</v>
      </c>
      <c r="N16" s="10">
        <f t="shared" si="2"/>
        <v>154960</v>
      </c>
    </row>
    <row r="17" spans="1:14" s="11" customFormat="1" ht="21" customHeight="1" x14ac:dyDescent="0.25">
      <c r="A17" s="10"/>
      <c r="B17" s="10"/>
      <c r="C17" s="6" t="s">
        <v>273</v>
      </c>
      <c r="D17" s="9" t="s">
        <v>1</v>
      </c>
      <c r="E17" s="8"/>
      <c r="F17" s="10">
        <v>7000</v>
      </c>
      <c r="G17" s="10">
        <f t="shared" si="1"/>
        <v>335450</v>
      </c>
      <c r="H17" s="10"/>
      <c r="I17" s="8">
        <v>140</v>
      </c>
      <c r="J17" s="6" t="s">
        <v>85</v>
      </c>
      <c r="K17" s="9" t="s">
        <v>0</v>
      </c>
      <c r="L17" s="8">
        <v>126</v>
      </c>
      <c r="M17" s="10">
        <v>12380</v>
      </c>
      <c r="N17" s="10">
        <f t="shared" si="2"/>
        <v>156980</v>
      </c>
    </row>
    <row r="18" spans="1:14" s="11" customFormat="1" ht="21" customHeight="1" x14ac:dyDescent="0.25">
      <c r="A18" s="10"/>
      <c r="B18" s="10"/>
      <c r="C18" s="6" t="s">
        <v>297</v>
      </c>
      <c r="D18" s="9" t="s">
        <v>1</v>
      </c>
      <c r="E18" s="8"/>
      <c r="F18" s="10">
        <v>7080</v>
      </c>
      <c r="G18" s="10">
        <f t="shared" si="1"/>
        <v>342450</v>
      </c>
      <c r="H18" s="10"/>
      <c r="I18" s="8">
        <v>141</v>
      </c>
      <c r="J18" s="6" t="s">
        <v>87</v>
      </c>
      <c r="K18" s="9" t="s">
        <v>0</v>
      </c>
      <c r="L18" s="8">
        <v>140</v>
      </c>
      <c r="M18" s="10">
        <v>6890</v>
      </c>
      <c r="N18" s="10">
        <f t="shared" si="2"/>
        <v>169360</v>
      </c>
    </row>
    <row r="19" spans="1:14" s="11" customFormat="1" ht="21" customHeight="1" x14ac:dyDescent="0.25">
      <c r="A19" s="10"/>
      <c r="B19" s="10"/>
      <c r="C19" s="6" t="s">
        <v>274</v>
      </c>
      <c r="D19" s="9" t="s">
        <v>1</v>
      </c>
      <c r="E19" s="8"/>
      <c r="F19" s="10">
        <v>6670</v>
      </c>
      <c r="G19" s="10">
        <f t="shared" si="1"/>
        <v>349530</v>
      </c>
      <c r="H19" s="10"/>
      <c r="I19" s="8">
        <v>142</v>
      </c>
      <c r="J19" s="6" t="s">
        <v>273</v>
      </c>
      <c r="K19" s="9" t="s">
        <v>0</v>
      </c>
      <c r="L19" s="8">
        <v>130</v>
      </c>
      <c r="M19" s="10">
        <v>2720</v>
      </c>
      <c r="N19" s="10">
        <f t="shared" si="2"/>
        <v>176250</v>
      </c>
    </row>
    <row r="20" spans="1:14" s="11" customFormat="1" ht="21" customHeight="1" x14ac:dyDescent="0.25">
      <c r="A20" s="10"/>
      <c r="B20" s="10"/>
      <c r="C20" s="6" t="s">
        <v>111</v>
      </c>
      <c r="D20" s="9" t="s">
        <v>1</v>
      </c>
      <c r="E20" s="8"/>
      <c r="F20" s="10">
        <v>4710</v>
      </c>
      <c r="G20" s="10">
        <f t="shared" si="1"/>
        <v>356200</v>
      </c>
      <c r="H20" s="10"/>
      <c r="I20" s="8">
        <v>143</v>
      </c>
      <c r="J20" s="6" t="s">
        <v>290</v>
      </c>
      <c r="K20" s="9" t="s">
        <v>0</v>
      </c>
      <c r="L20" s="8">
        <v>125</v>
      </c>
      <c r="M20" s="10">
        <v>20080</v>
      </c>
      <c r="N20" s="10">
        <f t="shared" si="2"/>
        <v>178970</v>
      </c>
    </row>
    <row r="21" spans="1:14" s="11" customFormat="1" ht="21" customHeight="1" x14ac:dyDescent="0.25">
      <c r="A21" s="10"/>
      <c r="B21" s="10"/>
      <c r="C21" s="6" t="s">
        <v>271</v>
      </c>
      <c r="D21" s="9" t="s">
        <v>1</v>
      </c>
      <c r="E21" s="8"/>
      <c r="F21" s="10">
        <v>1690</v>
      </c>
      <c r="G21" s="10">
        <f t="shared" si="1"/>
        <v>360910</v>
      </c>
      <c r="H21" s="10"/>
      <c r="I21" s="8">
        <v>144</v>
      </c>
      <c r="J21" s="6" t="s">
        <v>109</v>
      </c>
      <c r="K21" s="9" t="s">
        <v>0</v>
      </c>
      <c r="L21" s="8">
        <v>133</v>
      </c>
      <c r="M21" s="10">
        <v>560</v>
      </c>
      <c r="N21" s="10">
        <f t="shared" si="2"/>
        <v>199050</v>
      </c>
    </row>
    <row r="22" spans="1:14" s="11" customFormat="1" ht="21" customHeight="1" x14ac:dyDescent="0.25">
      <c r="A22" s="10"/>
      <c r="B22" s="10"/>
      <c r="C22" s="6" t="s">
        <v>104</v>
      </c>
      <c r="D22" s="9" t="s">
        <v>1</v>
      </c>
      <c r="E22" s="8"/>
      <c r="F22" s="10">
        <v>2020</v>
      </c>
      <c r="G22" s="10">
        <f t="shared" si="1"/>
        <v>362600</v>
      </c>
      <c r="H22" s="10"/>
      <c r="I22" s="8">
        <v>145</v>
      </c>
      <c r="J22" s="6" t="s">
        <v>111</v>
      </c>
      <c r="K22" s="9" t="s">
        <v>0</v>
      </c>
      <c r="L22" s="8">
        <v>137</v>
      </c>
      <c r="M22" s="10">
        <v>6830</v>
      </c>
      <c r="N22" s="10">
        <f t="shared" si="2"/>
        <v>199610</v>
      </c>
    </row>
    <row r="23" spans="1:14" s="11" customFormat="1" ht="21" customHeight="1" x14ac:dyDescent="0.25">
      <c r="A23" s="10"/>
      <c r="B23" s="10"/>
      <c r="C23" s="6" t="s">
        <v>276</v>
      </c>
      <c r="D23" s="9" t="s">
        <v>1</v>
      </c>
      <c r="E23" s="8"/>
      <c r="F23" s="10">
        <v>6720</v>
      </c>
      <c r="G23" s="10">
        <f t="shared" si="1"/>
        <v>364620</v>
      </c>
      <c r="H23" s="10"/>
      <c r="I23" s="8">
        <v>146</v>
      </c>
      <c r="J23" s="6" t="s">
        <v>169</v>
      </c>
      <c r="K23" s="9" t="s">
        <v>0</v>
      </c>
      <c r="L23" s="8">
        <v>148</v>
      </c>
      <c r="M23" s="10">
        <v>650</v>
      </c>
      <c r="N23" s="10">
        <f t="shared" si="2"/>
        <v>206440</v>
      </c>
    </row>
    <row r="24" spans="1:14" s="11" customFormat="1" ht="21" customHeight="1" x14ac:dyDescent="0.25">
      <c r="A24" s="10"/>
      <c r="B24" s="10"/>
      <c r="C24" s="6" t="s">
        <v>268</v>
      </c>
      <c r="D24" s="9" t="s">
        <v>1</v>
      </c>
      <c r="E24" s="8"/>
      <c r="F24" s="10">
        <v>6430</v>
      </c>
      <c r="G24" s="10">
        <f t="shared" si="1"/>
        <v>371340</v>
      </c>
      <c r="H24" s="10"/>
      <c r="I24" s="8">
        <v>147</v>
      </c>
      <c r="J24" s="6" t="s">
        <v>291</v>
      </c>
      <c r="K24" s="9" t="s">
        <v>0</v>
      </c>
      <c r="L24" s="8">
        <v>147</v>
      </c>
      <c r="M24" s="10">
        <v>2810</v>
      </c>
      <c r="N24" s="10">
        <f t="shared" si="2"/>
        <v>207090</v>
      </c>
    </row>
    <row r="25" spans="1:14" s="11" customFormat="1" ht="21" customHeight="1" x14ac:dyDescent="0.25">
      <c r="A25" s="10"/>
      <c r="B25" s="10"/>
      <c r="C25" s="6" t="s">
        <v>82</v>
      </c>
      <c r="D25" s="9" t="s">
        <v>1</v>
      </c>
      <c r="E25" s="8"/>
      <c r="F25" s="10">
        <v>36280</v>
      </c>
      <c r="G25" s="10">
        <f t="shared" si="1"/>
        <v>377770</v>
      </c>
      <c r="H25" s="10"/>
      <c r="I25" s="8">
        <v>148</v>
      </c>
      <c r="J25" s="6" t="s">
        <v>292</v>
      </c>
      <c r="K25" s="9" t="s">
        <v>0</v>
      </c>
      <c r="L25" s="8">
        <v>146</v>
      </c>
      <c r="M25" s="10">
        <v>2190</v>
      </c>
      <c r="N25" s="10">
        <f t="shared" si="2"/>
        <v>209900</v>
      </c>
    </row>
    <row r="26" spans="1:14" s="11" customFormat="1" ht="21" customHeight="1" x14ac:dyDescent="0.25">
      <c r="A26" s="10"/>
      <c r="B26" s="10"/>
      <c r="C26" s="6" t="s">
        <v>298</v>
      </c>
      <c r="D26" s="9" t="s">
        <v>1</v>
      </c>
      <c r="E26" s="8"/>
      <c r="F26" s="10">
        <v>10000</v>
      </c>
      <c r="G26" s="10">
        <f t="shared" si="1"/>
        <v>414050</v>
      </c>
      <c r="H26" s="10"/>
      <c r="I26" s="8">
        <v>149</v>
      </c>
      <c r="J26" s="6" t="s">
        <v>293</v>
      </c>
      <c r="K26" s="9" t="s">
        <v>0</v>
      </c>
      <c r="L26" s="8">
        <v>143</v>
      </c>
      <c r="M26" s="10">
        <v>3310</v>
      </c>
      <c r="N26" s="10">
        <f t="shared" si="2"/>
        <v>212090</v>
      </c>
    </row>
    <row r="27" spans="1:14" s="11" customFormat="1" ht="21" customHeight="1" x14ac:dyDescent="0.25">
      <c r="A27" s="10"/>
      <c r="B27" s="10"/>
      <c r="C27" s="10"/>
      <c r="D27" s="21" t="s">
        <v>1</v>
      </c>
      <c r="E27" s="8"/>
      <c r="F27" s="10"/>
      <c r="G27" s="10">
        <f t="shared" si="1"/>
        <v>424050</v>
      </c>
      <c r="H27" s="10"/>
      <c r="I27" s="8">
        <v>150</v>
      </c>
      <c r="J27" s="6" t="s">
        <v>294</v>
      </c>
      <c r="K27" s="9" t="s">
        <v>0</v>
      </c>
      <c r="L27" s="8">
        <v>136</v>
      </c>
      <c r="M27" s="10">
        <v>2430</v>
      </c>
      <c r="N27" s="10">
        <f t="shared" si="2"/>
        <v>215400</v>
      </c>
    </row>
    <row r="28" spans="1:14" s="11" customFormat="1" ht="21" customHeight="1" x14ac:dyDescent="0.25">
      <c r="A28" s="10"/>
      <c r="B28" s="10"/>
      <c r="C28" s="6" t="s">
        <v>299</v>
      </c>
      <c r="D28" s="21" t="s">
        <v>1</v>
      </c>
      <c r="E28" s="8"/>
      <c r="F28" s="10"/>
      <c r="G28" s="22">
        <f t="shared" si="1"/>
        <v>424050</v>
      </c>
      <c r="H28" s="10"/>
      <c r="I28" s="8">
        <v>151</v>
      </c>
      <c r="J28" s="6" t="s">
        <v>295</v>
      </c>
      <c r="K28" s="9" t="s">
        <v>0</v>
      </c>
      <c r="L28" s="8">
        <v>135</v>
      </c>
      <c r="M28" s="10">
        <v>5950</v>
      </c>
      <c r="N28" s="10">
        <f t="shared" si="2"/>
        <v>217830</v>
      </c>
    </row>
    <row r="29" spans="1:14" s="11" customFormat="1" ht="21" customHeight="1" x14ac:dyDescent="0.25">
      <c r="A29" s="10"/>
      <c r="B29" s="10"/>
      <c r="C29" s="23" t="s">
        <v>300</v>
      </c>
      <c r="D29" s="21" t="s">
        <v>1</v>
      </c>
      <c r="E29" s="8"/>
      <c r="F29" s="10"/>
      <c r="G29" s="22">
        <f t="shared" si="1"/>
        <v>424050</v>
      </c>
      <c r="H29" s="10"/>
      <c r="I29" s="8">
        <v>152</v>
      </c>
      <c r="J29" s="6" t="s">
        <v>296</v>
      </c>
      <c r="K29" s="9" t="s">
        <v>0</v>
      </c>
      <c r="L29" s="8">
        <v>134</v>
      </c>
      <c r="M29" s="10">
        <v>3420</v>
      </c>
      <c r="N29" s="10">
        <f t="shared" si="2"/>
        <v>223780</v>
      </c>
    </row>
    <row r="30" spans="1:14" s="11" customFormat="1" ht="21" customHeight="1" x14ac:dyDescent="0.25">
      <c r="A30" s="10"/>
      <c r="B30" s="10"/>
      <c r="C30" s="6" t="s">
        <v>301</v>
      </c>
      <c r="D30" s="21" t="s">
        <v>1</v>
      </c>
      <c r="E30" s="8"/>
      <c r="F30" s="10"/>
      <c r="G30" s="22">
        <f t="shared" si="1"/>
        <v>424050</v>
      </c>
      <c r="H30" s="10"/>
      <c r="I30" s="8">
        <v>153</v>
      </c>
      <c r="J30" s="6" t="s">
        <v>82</v>
      </c>
      <c r="K30" s="9" t="s">
        <v>0</v>
      </c>
      <c r="L30" s="8">
        <v>129</v>
      </c>
      <c r="M30" s="10">
        <v>6340</v>
      </c>
      <c r="N30" s="10">
        <f t="shared" si="2"/>
        <v>227200</v>
      </c>
    </row>
    <row r="31" spans="1:14" s="11" customFormat="1" ht="21" customHeight="1" x14ac:dyDescent="0.25">
      <c r="A31" s="10"/>
      <c r="B31" s="10"/>
      <c r="C31" s="10"/>
      <c r="D31" s="21" t="s">
        <v>1</v>
      </c>
      <c r="E31" s="8"/>
      <c r="F31" s="10"/>
      <c r="G31" s="22">
        <f t="shared" si="1"/>
        <v>424050</v>
      </c>
      <c r="H31" s="10"/>
      <c r="I31" s="8">
        <v>154</v>
      </c>
      <c r="J31" s="6" t="s">
        <v>82</v>
      </c>
      <c r="K31" s="9" t="s">
        <v>0</v>
      </c>
      <c r="L31" s="8">
        <v>142</v>
      </c>
      <c r="M31" s="10">
        <v>3020</v>
      </c>
      <c r="N31" s="10">
        <f t="shared" si="2"/>
        <v>233540</v>
      </c>
    </row>
    <row r="32" spans="1:14" s="11" customFormat="1" ht="21" customHeight="1" x14ac:dyDescent="0.25">
      <c r="A32" s="10"/>
      <c r="B32" s="10"/>
      <c r="C32" s="10" t="s">
        <v>302</v>
      </c>
      <c r="D32" s="21" t="s">
        <v>1</v>
      </c>
      <c r="E32" s="8"/>
      <c r="F32" s="10"/>
      <c r="G32" s="22">
        <f t="shared" si="1"/>
        <v>424050</v>
      </c>
      <c r="H32" s="10"/>
      <c r="I32" s="8">
        <v>155</v>
      </c>
      <c r="J32" s="6" t="s">
        <v>82</v>
      </c>
      <c r="K32" s="9" t="s">
        <v>0</v>
      </c>
      <c r="L32" s="8">
        <v>145</v>
      </c>
      <c r="M32" s="10">
        <v>3740</v>
      </c>
      <c r="N32" s="10">
        <f t="shared" si="2"/>
        <v>236560</v>
      </c>
    </row>
    <row r="33" spans="1:14" s="11" customFormat="1" ht="21" customHeight="1" x14ac:dyDescent="0.25">
      <c r="A33" s="10"/>
      <c r="B33" s="10"/>
      <c r="C33" s="10" t="s">
        <v>303</v>
      </c>
      <c r="D33" s="21" t="s">
        <v>1</v>
      </c>
      <c r="E33" s="8"/>
      <c r="F33" s="10"/>
      <c r="G33" s="22">
        <f t="shared" si="1"/>
        <v>424050</v>
      </c>
      <c r="H33" s="10"/>
      <c r="I33" s="8">
        <v>156</v>
      </c>
      <c r="J33" s="6" t="s">
        <v>82</v>
      </c>
      <c r="K33" s="9" t="s">
        <v>0</v>
      </c>
      <c r="L33" s="8">
        <v>101</v>
      </c>
      <c r="M33" s="10">
        <v>23180</v>
      </c>
      <c r="N33" s="10">
        <f t="shared" si="2"/>
        <v>240300</v>
      </c>
    </row>
    <row r="34" spans="1:14" s="11" customFormat="1" ht="21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424050</v>
      </c>
      <c r="H34" s="10"/>
      <c r="I34" s="10"/>
      <c r="J34" s="6"/>
      <c r="K34" s="9" t="s">
        <v>0</v>
      </c>
      <c r="L34" s="10"/>
      <c r="M34" s="10"/>
      <c r="N34" s="10">
        <f t="shared" si="2"/>
        <v>263480</v>
      </c>
    </row>
    <row r="35" spans="1:14" ht="31.5" customHeight="1" x14ac:dyDescent="0.25">
      <c r="A35" s="46" t="s">
        <v>9</v>
      </c>
      <c r="B35" s="46"/>
      <c r="C35" s="47"/>
      <c r="D35" s="54">
        <f>G34+F34</f>
        <v>424050</v>
      </c>
      <c r="E35" s="54"/>
      <c r="F35" s="54"/>
      <c r="G35" s="54"/>
      <c r="H35" s="48" t="s">
        <v>10</v>
      </c>
      <c r="I35" s="48"/>
      <c r="J35" s="49"/>
      <c r="K35" s="54">
        <f>N34+M34</f>
        <v>263480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263480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160570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N46"/>
  <sheetViews>
    <sheetView view="pageBreakPreview" topLeftCell="A13" zoomScale="115" zoomScaleNormal="145" zoomScaleSheetLayoutView="115" zoomScalePageLayoutView="85" workbookViewId="0">
      <selection activeCell="J29" sqref="J29:J31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67</v>
      </c>
      <c r="D3" s="58" t="s">
        <v>4</v>
      </c>
      <c r="E3" s="58"/>
      <c r="F3" s="17" t="s">
        <v>3</v>
      </c>
      <c r="G3" s="3">
        <v>45577</v>
      </c>
      <c r="H3" s="57" t="s">
        <v>8</v>
      </c>
      <c r="I3" s="57"/>
      <c r="J3" s="18" t="s">
        <v>67</v>
      </c>
      <c r="K3" s="62" t="s">
        <v>5</v>
      </c>
      <c r="L3" s="62"/>
      <c r="M3" s="17" t="s">
        <v>3</v>
      </c>
      <c r="N3" s="3">
        <v>45577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(11)'!D37</f>
        <v>160570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80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7120</v>
      </c>
      <c r="G5" s="10">
        <f>F4</f>
        <v>160570</v>
      </c>
      <c r="H5" s="8"/>
      <c r="I5" s="8"/>
      <c r="J5" s="6" t="s">
        <v>54</v>
      </c>
      <c r="K5" s="9" t="s">
        <v>0</v>
      </c>
      <c r="L5" s="8"/>
      <c r="M5" s="10">
        <v>1970</v>
      </c>
      <c r="N5" s="10">
        <f>M4</f>
        <v>80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50</v>
      </c>
      <c r="G6" s="10">
        <f>G5+F5</f>
        <v>167690</v>
      </c>
      <c r="H6" s="8"/>
      <c r="I6" s="8"/>
      <c r="J6" s="6" t="s">
        <v>100</v>
      </c>
      <c r="K6" s="9" t="s">
        <v>0</v>
      </c>
      <c r="L6" s="8"/>
      <c r="M6" s="10">
        <v>300</v>
      </c>
      <c r="N6" s="10">
        <f t="shared" ref="N6" si="0">N5+M5</f>
        <v>2050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50</v>
      </c>
      <c r="G7" s="10">
        <f t="shared" ref="G7:G33" si="1">G6+F6</f>
        <v>167740</v>
      </c>
      <c r="H7" s="8"/>
      <c r="I7" s="8"/>
      <c r="J7" s="6" t="s">
        <v>314</v>
      </c>
      <c r="K7" s="9" t="s">
        <v>0</v>
      </c>
      <c r="L7" s="8"/>
      <c r="M7" s="10">
        <v>3000</v>
      </c>
      <c r="N7" s="10">
        <f>N6+M6</f>
        <v>2350</v>
      </c>
    </row>
    <row r="8" spans="1:14" s="11" customFormat="1" ht="21" customHeight="1" x14ac:dyDescent="0.25">
      <c r="A8" s="8"/>
      <c r="B8" s="8"/>
      <c r="C8" s="6" t="s">
        <v>304</v>
      </c>
      <c r="D8" s="9" t="s">
        <v>1</v>
      </c>
      <c r="E8" s="8"/>
      <c r="F8" s="10">
        <v>4030</v>
      </c>
      <c r="G8" s="10">
        <f t="shared" si="1"/>
        <v>167790</v>
      </c>
      <c r="H8" s="8"/>
      <c r="I8" s="8">
        <v>157</v>
      </c>
      <c r="J8" s="6" t="s">
        <v>43</v>
      </c>
      <c r="K8" s="9" t="s">
        <v>0</v>
      </c>
      <c r="L8" s="8">
        <v>159</v>
      </c>
      <c r="M8" s="10">
        <v>4700</v>
      </c>
      <c r="N8" s="10">
        <f t="shared" ref="N8:N34" si="2">N7+M7</f>
        <v>5350</v>
      </c>
    </row>
    <row r="9" spans="1:14" s="11" customFormat="1" ht="21" customHeight="1" x14ac:dyDescent="0.25">
      <c r="A9" s="8"/>
      <c r="B9" s="8"/>
      <c r="C9" s="6" t="s">
        <v>181</v>
      </c>
      <c r="D9" s="9" t="s">
        <v>1</v>
      </c>
      <c r="E9" s="8"/>
      <c r="F9" s="10">
        <v>5920</v>
      </c>
      <c r="G9" s="10">
        <f t="shared" si="1"/>
        <v>171820</v>
      </c>
      <c r="H9" s="8"/>
      <c r="I9" s="8">
        <v>158</v>
      </c>
      <c r="J9" s="6" t="s">
        <v>46</v>
      </c>
      <c r="K9" s="9" t="s">
        <v>0</v>
      </c>
      <c r="L9" s="8">
        <v>150</v>
      </c>
      <c r="M9" s="10">
        <v>71470</v>
      </c>
      <c r="N9" s="10">
        <f t="shared" si="2"/>
        <v>10050</v>
      </c>
    </row>
    <row r="10" spans="1:14" s="11" customFormat="1" ht="21" customHeight="1" x14ac:dyDescent="0.25">
      <c r="A10" s="8"/>
      <c r="B10" s="8"/>
      <c r="C10" s="6" t="s">
        <v>305</v>
      </c>
      <c r="D10" s="9" t="s">
        <v>1</v>
      </c>
      <c r="E10" s="8"/>
      <c r="F10" s="10">
        <v>5100</v>
      </c>
      <c r="G10" s="10">
        <f t="shared" si="1"/>
        <v>177740</v>
      </c>
      <c r="H10" s="8"/>
      <c r="I10" s="8">
        <v>159</v>
      </c>
      <c r="J10" s="6" t="s">
        <v>50</v>
      </c>
      <c r="K10" s="9" t="s">
        <v>0</v>
      </c>
      <c r="L10" s="8">
        <v>157</v>
      </c>
      <c r="M10" s="10">
        <v>3200</v>
      </c>
      <c r="N10" s="10">
        <f t="shared" si="2"/>
        <v>81520</v>
      </c>
    </row>
    <row r="11" spans="1:14" s="11" customFormat="1" ht="21" customHeight="1" x14ac:dyDescent="0.25">
      <c r="A11" s="8"/>
      <c r="B11" s="8"/>
      <c r="C11" s="6" t="s">
        <v>306</v>
      </c>
      <c r="D11" s="9" t="s">
        <v>1</v>
      </c>
      <c r="E11" s="8"/>
      <c r="F11" s="10">
        <v>3350</v>
      </c>
      <c r="G11" s="10">
        <f t="shared" si="1"/>
        <v>182840</v>
      </c>
      <c r="H11" s="8"/>
      <c r="I11" s="8">
        <v>160</v>
      </c>
      <c r="J11" s="6" t="s">
        <v>19</v>
      </c>
      <c r="K11" s="9" t="s">
        <v>0</v>
      </c>
      <c r="L11" s="8">
        <v>149</v>
      </c>
      <c r="M11" s="10">
        <v>14700</v>
      </c>
      <c r="N11" s="10">
        <f t="shared" si="2"/>
        <v>84720</v>
      </c>
    </row>
    <row r="12" spans="1:14" s="11" customFormat="1" ht="21" customHeight="1" x14ac:dyDescent="0.25">
      <c r="A12" s="8"/>
      <c r="B12" s="8"/>
      <c r="C12" s="6" t="s">
        <v>236</v>
      </c>
      <c r="D12" s="9" t="s">
        <v>1</v>
      </c>
      <c r="E12" s="8"/>
      <c r="F12" s="10">
        <v>10080</v>
      </c>
      <c r="G12" s="10">
        <f t="shared" si="1"/>
        <v>186190</v>
      </c>
      <c r="H12" s="8"/>
      <c r="I12" s="8">
        <v>161</v>
      </c>
      <c r="J12" s="6" t="s">
        <v>18</v>
      </c>
      <c r="K12" s="9" t="s">
        <v>0</v>
      </c>
      <c r="L12" s="8">
        <v>156</v>
      </c>
      <c r="M12" s="10">
        <v>3060</v>
      </c>
      <c r="N12" s="10">
        <f t="shared" si="2"/>
        <v>99420</v>
      </c>
    </row>
    <row r="13" spans="1:14" s="11" customFormat="1" ht="21" customHeight="1" x14ac:dyDescent="0.25">
      <c r="A13" s="8"/>
      <c r="B13" s="8"/>
      <c r="C13" s="6" t="s">
        <v>307</v>
      </c>
      <c r="D13" s="9" t="s">
        <v>1</v>
      </c>
      <c r="E13" s="8"/>
      <c r="F13" s="10">
        <v>20080</v>
      </c>
      <c r="G13" s="10">
        <f t="shared" si="1"/>
        <v>196270</v>
      </c>
      <c r="H13" s="8"/>
      <c r="I13" s="8">
        <v>162</v>
      </c>
      <c r="J13" s="6" t="s">
        <v>290</v>
      </c>
      <c r="K13" s="9" t="s">
        <v>0</v>
      </c>
      <c r="L13" s="8">
        <v>160</v>
      </c>
      <c r="M13" s="10">
        <v>3010</v>
      </c>
      <c r="N13" s="10">
        <f t="shared" si="2"/>
        <v>102480</v>
      </c>
    </row>
    <row r="14" spans="1:14" s="11" customFormat="1" ht="21" customHeight="1" x14ac:dyDescent="0.25">
      <c r="A14" s="8"/>
      <c r="B14" s="8"/>
      <c r="C14" s="6" t="s">
        <v>308</v>
      </c>
      <c r="D14" s="9" t="s">
        <v>1</v>
      </c>
      <c r="E14" s="8"/>
      <c r="F14" s="10">
        <v>2810</v>
      </c>
      <c r="G14" s="10">
        <f t="shared" si="1"/>
        <v>216350</v>
      </c>
      <c r="H14" s="8"/>
      <c r="I14" s="8">
        <v>163</v>
      </c>
      <c r="J14" s="6" t="s">
        <v>111</v>
      </c>
      <c r="K14" s="9" t="s">
        <v>0</v>
      </c>
      <c r="L14" s="8">
        <v>153</v>
      </c>
      <c r="M14" s="10">
        <v>3150</v>
      </c>
      <c r="N14" s="10">
        <f t="shared" si="2"/>
        <v>105490</v>
      </c>
    </row>
    <row r="15" spans="1:14" s="11" customFormat="1" ht="21" customHeight="1" x14ac:dyDescent="0.25">
      <c r="A15" s="10"/>
      <c r="B15" s="10"/>
      <c r="C15" s="6" t="s">
        <v>309</v>
      </c>
      <c r="D15" s="9" t="s">
        <v>1</v>
      </c>
      <c r="E15" s="8"/>
      <c r="F15" s="10">
        <v>2800</v>
      </c>
      <c r="G15" s="10">
        <f t="shared" si="1"/>
        <v>219160</v>
      </c>
      <c r="H15" s="10"/>
      <c r="I15" s="8">
        <v>164</v>
      </c>
      <c r="J15" s="6" t="s">
        <v>280</v>
      </c>
      <c r="K15" s="9" t="s">
        <v>0</v>
      </c>
      <c r="L15" s="8">
        <v>154</v>
      </c>
      <c r="M15" s="10">
        <v>4950</v>
      </c>
      <c r="N15" s="10">
        <f t="shared" si="2"/>
        <v>108640</v>
      </c>
    </row>
    <row r="16" spans="1:14" s="11" customFormat="1" ht="21" customHeight="1" x14ac:dyDescent="0.25">
      <c r="A16" s="10"/>
      <c r="B16" s="10"/>
      <c r="C16" s="6" t="s">
        <v>240</v>
      </c>
      <c r="D16" s="9" t="s">
        <v>1</v>
      </c>
      <c r="E16" s="8"/>
      <c r="F16" s="10">
        <v>3310</v>
      </c>
      <c r="G16" s="10">
        <f t="shared" si="1"/>
        <v>221960</v>
      </c>
      <c r="H16" s="10"/>
      <c r="I16" s="8">
        <v>165</v>
      </c>
      <c r="J16" s="6" t="s">
        <v>40</v>
      </c>
      <c r="K16" s="9" t="s">
        <v>0</v>
      </c>
      <c r="L16" s="8">
        <v>151</v>
      </c>
      <c r="M16" s="10">
        <v>13410</v>
      </c>
      <c r="N16" s="10">
        <f t="shared" si="2"/>
        <v>113590</v>
      </c>
    </row>
    <row r="17" spans="1:14" s="11" customFormat="1" ht="21" customHeight="1" x14ac:dyDescent="0.25">
      <c r="A17" s="10"/>
      <c r="B17" s="10"/>
      <c r="C17" s="6" t="s">
        <v>189</v>
      </c>
      <c r="D17" s="9" t="s">
        <v>1</v>
      </c>
      <c r="E17" s="8"/>
      <c r="F17" s="10">
        <v>21160</v>
      </c>
      <c r="G17" s="10">
        <f t="shared" si="1"/>
        <v>225270</v>
      </c>
      <c r="H17" s="10"/>
      <c r="I17" s="8">
        <v>166</v>
      </c>
      <c r="J17" s="6" t="s">
        <v>320</v>
      </c>
      <c r="K17" s="9" t="s">
        <v>0</v>
      </c>
      <c r="L17" s="8">
        <v>152</v>
      </c>
      <c r="M17" s="10">
        <v>42310</v>
      </c>
      <c r="N17" s="10">
        <f t="shared" si="2"/>
        <v>127000</v>
      </c>
    </row>
    <row r="18" spans="1:14" s="11" customFormat="1" ht="21" customHeight="1" x14ac:dyDescent="0.25">
      <c r="A18" s="10"/>
      <c r="B18" s="10"/>
      <c r="C18" s="6" t="s">
        <v>179</v>
      </c>
      <c r="D18" s="9" t="s">
        <v>1</v>
      </c>
      <c r="E18" s="8"/>
      <c r="F18" s="10">
        <v>6890</v>
      </c>
      <c r="G18" s="10">
        <f t="shared" si="1"/>
        <v>246430</v>
      </c>
      <c r="H18" s="10"/>
      <c r="I18" s="8">
        <v>167</v>
      </c>
      <c r="J18" s="6" t="s">
        <v>321</v>
      </c>
      <c r="K18" s="9" t="s">
        <v>0</v>
      </c>
      <c r="L18" s="8">
        <v>155</v>
      </c>
      <c r="M18" s="10">
        <v>1930</v>
      </c>
      <c r="N18" s="10">
        <f t="shared" si="2"/>
        <v>169310</v>
      </c>
    </row>
    <row r="19" spans="1:14" s="11" customFormat="1" ht="21" customHeight="1" x14ac:dyDescent="0.25">
      <c r="A19" s="10"/>
      <c r="B19" s="10"/>
      <c r="C19" s="6" t="s">
        <v>310</v>
      </c>
      <c r="D19" s="9" t="s">
        <v>1</v>
      </c>
      <c r="E19" s="8"/>
      <c r="F19" s="10">
        <v>2020</v>
      </c>
      <c r="G19" s="10">
        <f t="shared" si="1"/>
        <v>253320</v>
      </c>
      <c r="H19" s="10"/>
      <c r="I19" s="8">
        <v>168</v>
      </c>
      <c r="J19" s="6" t="s">
        <v>322</v>
      </c>
      <c r="K19" s="9" t="s">
        <v>0</v>
      </c>
      <c r="L19" s="8">
        <v>161</v>
      </c>
      <c r="M19" s="10">
        <v>6680</v>
      </c>
      <c r="N19" s="10">
        <f t="shared" si="2"/>
        <v>171240</v>
      </c>
    </row>
    <row r="20" spans="1:14" s="11" customFormat="1" ht="21" customHeight="1" x14ac:dyDescent="0.25">
      <c r="A20" s="10"/>
      <c r="B20" s="10"/>
      <c r="C20" s="6" t="s">
        <v>186</v>
      </c>
      <c r="D20" s="9" t="s">
        <v>1</v>
      </c>
      <c r="E20" s="8"/>
      <c r="F20" s="10">
        <v>6830</v>
      </c>
      <c r="G20" s="10">
        <f t="shared" si="1"/>
        <v>255340</v>
      </c>
      <c r="H20" s="10"/>
      <c r="I20" s="8">
        <v>169</v>
      </c>
      <c r="J20" s="6" t="s">
        <v>82</v>
      </c>
      <c r="K20" s="9" t="s">
        <v>0</v>
      </c>
      <c r="L20" s="8">
        <v>121</v>
      </c>
      <c r="M20" s="10">
        <v>5650</v>
      </c>
      <c r="N20" s="10">
        <f t="shared" si="2"/>
        <v>177920</v>
      </c>
    </row>
    <row r="21" spans="1:14" s="11" customFormat="1" ht="21" customHeight="1" x14ac:dyDescent="0.25">
      <c r="A21" s="10"/>
      <c r="B21" s="10"/>
      <c r="C21" s="6" t="s">
        <v>311</v>
      </c>
      <c r="D21" s="9" t="s">
        <v>1</v>
      </c>
      <c r="E21" s="8"/>
      <c r="F21" s="10">
        <v>2430</v>
      </c>
      <c r="G21" s="10">
        <f t="shared" si="1"/>
        <v>262170</v>
      </c>
      <c r="H21" s="10"/>
      <c r="I21" s="10"/>
      <c r="J21" s="10"/>
      <c r="K21" s="21" t="s">
        <v>0</v>
      </c>
      <c r="L21" s="8"/>
      <c r="M21" s="10"/>
      <c r="N21" s="10">
        <f t="shared" si="2"/>
        <v>183570</v>
      </c>
    </row>
    <row r="22" spans="1:14" s="11" customFormat="1" ht="21" customHeight="1" x14ac:dyDescent="0.25">
      <c r="A22" s="10"/>
      <c r="B22" s="10"/>
      <c r="C22" s="6" t="s">
        <v>312</v>
      </c>
      <c r="D22" s="9" t="s">
        <v>1</v>
      </c>
      <c r="E22" s="8"/>
      <c r="F22" s="10">
        <v>5950</v>
      </c>
      <c r="G22" s="10">
        <f t="shared" si="1"/>
        <v>264600</v>
      </c>
      <c r="H22" s="10"/>
      <c r="I22" s="10"/>
      <c r="J22" s="10"/>
      <c r="K22" s="21" t="s">
        <v>0</v>
      </c>
      <c r="L22" s="8"/>
      <c r="M22" s="10"/>
      <c r="N22" s="22">
        <f t="shared" si="2"/>
        <v>183570</v>
      </c>
    </row>
    <row r="23" spans="1:14" s="11" customFormat="1" ht="21" customHeight="1" x14ac:dyDescent="0.25">
      <c r="A23" s="10"/>
      <c r="B23" s="10"/>
      <c r="C23" s="6" t="s">
        <v>313</v>
      </c>
      <c r="D23" s="9" t="s">
        <v>1</v>
      </c>
      <c r="E23" s="8"/>
      <c r="F23" s="10">
        <v>3420</v>
      </c>
      <c r="G23" s="10">
        <f t="shared" si="1"/>
        <v>270550</v>
      </c>
      <c r="H23" s="10"/>
      <c r="I23" s="10"/>
      <c r="J23" s="10"/>
      <c r="K23" s="21" t="s">
        <v>0</v>
      </c>
      <c r="L23" s="8"/>
      <c r="M23" s="10"/>
      <c r="N23" s="22">
        <f t="shared" si="2"/>
        <v>183570</v>
      </c>
    </row>
    <row r="24" spans="1:14" s="11" customFormat="1" ht="21" customHeight="1" x14ac:dyDescent="0.25">
      <c r="A24" s="10"/>
      <c r="B24" s="10"/>
      <c r="C24" s="6" t="s">
        <v>196</v>
      </c>
      <c r="D24" s="9" t="s">
        <v>1</v>
      </c>
      <c r="E24" s="8"/>
      <c r="F24" s="10">
        <v>560</v>
      </c>
      <c r="G24" s="10">
        <f t="shared" si="1"/>
        <v>273970</v>
      </c>
      <c r="H24" s="10"/>
      <c r="I24" s="10"/>
      <c r="J24" s="10"/>
      <c r="K24" s="21" t="s">
        <v>0</v>
      </c>
      <c r="L24" s="8"/>
      <c r="M24" s="10"/>
      <c r="N24" s="22">
        <f t="shared" si="2"/>
        <v>183570</v>
      </c>
    </row>
    <row r="25" spans="1:14" s="11" customFormat="1" ht="21" customHeight="1" x14ac:dyDescent="0.25">
      <c r="A25" s="10"/>
      <c r="B25" s="10"/>
      <c r="C25" s="6" t="s">
        <v>242</v>
      </c>
      <c r="D25" s="9" t="s">
        <v>1</v>
      </c>
      <c r="E25" s="8"/>
      <c r="F25" s="10">
        <v>13830</v>
      </c>
      <c r="G25" s="10">
        <f t="shared" si="1"/>
        <v>274530</v>
      </c>
      <c r="H25" s="10"/>
      <c r="I25" s="10"/>
      <c r="J25" s="10"/>
      <c r="K25" s="21" t="s">
        <v>0</v>
      </c>
      <c r="L25" s="8"/>
      <c r="M25" s="10"/>
      <c r="N25" s="22">
        <f t="shared" si="2"/>
        <v>183570</v>
      </c>
    </row>
    <row r="26" spans="1:14" s="11" customFormat="1" ht="21" customHeight="1" x14ac:dyDescent="0.25">
      <c r="A26" s="10"/>
      <c r="B26" s="10"/>
      <c r="C26" s="6" t="s">
        <v>39</v>
      </c>
      <c r="D26" s="9" t="s">
        <v>1</v>
      </c>
      <c r="E26" s="8"/>
      <c r="F26" s="10">
        <v>5650</v>
      </c>
      <c r="G26" s="10">
        <f t="shared" si="1"/>
        <v>288360</v>
      </c>
      <c r="H26" s="10"/>
      <c r="I26" s="10"/>
      <c r="J26" s="10"/>
      <c r="K26" s="21" t="s">
        <v>0</v>
      </c>
      <c r="L26" s="8"/>
      <c r="M26" s="10"/>
      <c r="N26" s="22">
        <f t="shared" si="2"/>
        <v>183570</v>
      </c>
    </row>
    <row r="27" spans="1:14" s="11" customFormat="1" ht="21" customHeight="1" x14ac:dyDescent="0.25">
      <c r="A27" s="10"/>
      <c r="B27" s="10"/>
      <c r="C27" s="6"/>
      <c r="D27" s="21" t="s">
        <v>1</v>
      </c>
      <c r="E27" s="8"/>
      <c r="F27" s="10"/>
      <c r="G27" s="10">
        <f t="shared" si="1"/>
        <v>294010</v>
      </c>
      <c r="H27" s="10"/>
      <c r="I27" s="10"/>
      <c r="J27" s="10"/>
      <c r="K27" s="21" t="s">
        <v>0</v>
      </c>
      <c r="L27" s="8"/>
      <c r="M27" s="10"/>
      <c r="N27" s="22">
        <f t="shared" si="2"/>
        <v>183570</v>
      </c>
    </row>
    <row r="28" spans="1:14" s="11" customFormat="1" ht="21" customHeight="1" x14ac:dyDescent="0.25">
      <c r="A28" s="10"/>
      <c r="B28" s="10"/>
      <c r="C28" s="10"/>
      <c r="D28" s="21" t="s">
        <v>1</v>
      </c>
      <c r="E28" s="8"/>
      <c r="F28" s="10"/>
      <c r="G28" s="22">
        <f t="shared" si="1"/>
        <v>294010</v>
      </c>
      <c r="H28" s="10"/>
      <c r="I28" s="10"/>
      <c r="J28" s="10"/>
      <c r="K28" s="21" t="s">
        <v>0</v>
      </c>
      <c r="L28" s="8"/>
      <c r="M28" s="10"/>
      <c r="N28" s="22">
        <f t="shared" si="2"/>
        <v>183570</v>
      </c>
    </row>
    <row r="29" spans="1:14" s="11" customFormat="1" ht="21" customHeight="1" x14ac:dyDescent="0.25">
      <c r="A29" s="10"/>
      <c r="B29" s="10"/>
      <c r="C29" s="10"/>
      <c r="D29" s="21" t="s">
        <v>1</v>
      </c>
      <c r="E29" s="8"/>
      <c r="F29" s="10"/>
      <c r="G29" s="22">
        <f t="shared" si="1"/>
        <v>294010</v>
      </c>
      <c r="H29" s="10"/>
      <c r="I29" s="10"/>
      <c r="J29" s="6" t="s">
        <v>315</v>
      </c>
      <c r="K29" s="21" t="s">
        <v>0</v>
      </c>
      <c r="L29" s="8"/>
      <c r="M29" s="10"/>
      <c r="N29" s="22">
        <f t="shared" si="2"/>
        <v>183570</v>
      </c>
    </row>
    <row r="30" spans="1:14" s="11" customFormat="1" ht="21" customHeight="1" x14ac:dyDescent="0.25">
      <c r="A30" s="10"/>
      <c r="B30" s="10"/>
      <c r="C30" s="10"/>
      <c r="D30" s="21" t="s">
        <v>1</v>
      </c>
      <c r="E30" s="8"/>
      <c r="F30" s="10"/>
      <c r="G30" s="22">
        <f t="shared" si="1"/>
        <v>294010</v>
      </c>
      <c r="H30" s="10"/>
      <c r="I30" s="10"/>
      <c r="J30" s="23" t="s">
        <v>316</v>
      </c>
      <c r="K30" s="21" t="s">
        <v>0</v>
      </c>
      <c r="L30" s="8"/>
      <c r="M30" s="10"/>
      <c r="N30" s="22">
        <f t="shared" si="2"/>
        <v>183570</v>
      </c>
    </row>
    <row r="31" spans="1:14" s="11" customFormat="1" ht="21" customHeight="1" x14ac:dyDescent="0.25">
      <c r="A31" s="10"/>
      <c r="B31" s="10"/>
      <c r="C31" s="10" t="s">
        <v>319</v>
      </c>
      <c r="D31" s="21" t="s">
        <v>1</v>
      </c>
      <c r="E31" s="8"/>
      <c r="F31" s="10"/>
      <c r="G31" s="22">
        <f t="shared" si="1"/>
        <v>294010</v>
      </c>
      <c r="H31" s="10"/>
      <c r="I31" s="10"/>
      <c r="J31" s="6" t="s">
        <v>317</v>
      </c>
      <c r="K31" s="21" t="s">
        <v>0</v>
      </c>
      <c r="L31" s="8"/>
      <c r="M31" s="10"/>
      <c r="N31" s="22">
        <f t="shared" si="2"/>
        <v>183570</v>
      </c>
    </row>
    <row r="32" spans="1:14" s="11" customFormat="1" ht="21" customHeight="1" x14ac:dyDescent="0.25">
      <c r="A32" s="10"/>
      <c r="B32" s="10"/>
      <c r="C32" s="10" t="s">
        <v>318</v>
      </c>
      <c r="D32" s="21" t="s">
        <v>1</v>
      </c>
      <c r="E32" s="8"/>
      <c r="F32" s="10"/>
      <c r="G32" s="22">
        <f t="shared" si="1"/>
        <v>294010</v>
      </c>
      <c r="H32" s="10"/>
      <c r="I32" s="10"/>
      <c r="J32" s="10"/>
      <c r="K32" s="21" t="s">
        <v>0</v>
      </c>
      <c r="L32" s="8"/>
      <c r="M32" s="10"/>
      <c r="N32" s="22">
        <f t="shared" si="2"/>
        <v>183570</v>
      </c>
    </row>
    <row r="33" spans="1:14" s="11" customFormat="1" ht="21" customHeight="1" x14ac:dyDescent="0.25">
      <c r="A33" s="10"/>
      <c r="B33" s="10"/>
      <c r="C33" s="10"/>
      <c r="D33" s="21" t="s">
        <v>1</v>
      </c>
      <c r="E33" s="8"/>
      <c r="F33" s="10"/>
      <c r="G33" s="22">
        <f t="shared" si="1"/>
        <v>294010</v>
      </c>
      <c r="H33" s="10"/>
      <c r="I33" s="10"/>
      <c r="J33" s="10"/>
      <c r="K33" s="21" t="s">
        <v>0</v>
      </c>
      <c r="L33" s="8"/>
      <c r="M33" s="10"/>
      <c r="N33" s="22">
        <f t="shared" si="2"/>
        <v>183570</v>
      </c>
    </row>
    <row r="34" spans="1:14" s="11" customFormat="1" ht="21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294010</v>
      </c>
      <c r="H34" s="10"/>
      <c r="I34" s="10"/>
      <c r="J34" s="10"/>
      <c r="K34" s="21" t="s">
        <v>0</v>
      </c>
      <c r="L34" s="10"/>
      <c r="M34" s="10"/>
      <c r="N34" s="22">
        <f t="shared" si="2"/>
        <v>183570</v>
      </c>
    </row>
    <row r="35" spans="1:14" ht="31.5" customHeight="1" x14ac:dyDescent="0.25">
      <c r="A35" s="46" t="s">
        <v>9</v>
      </c>
      <c r="B35" s="46"/>
      <c r="C35" s="47"/>
      <c r="D35" s="54">
        <f>G34+F34</f>
        <v>294010</v>
      </c>
      <c r="E35" s="54"/>
      <c r="F35" s="54"/>
      <c r="G35" s="54"/>
      <c r="H35" s="48" t="s">
        <v>10</v>
      </c>
      <c r="I35" s="48"/>
      <c r="J35" s="49"/>
      <c r="K35" s="54">
        <f>N34+M34</f>
        <v>183570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183570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110440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N46"/>
  <sheetViews>
    <sheetView view="pageBreakPreview" topLeftCell="A16" zoomScale="115" zoomScaleNormal="145" zoomScaleSheetLayoutView="115" zoomScalePageLayoutView="85" workbookViewId="0">
      <selection activeCell="C27" sqref="C27:C33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145</v>
      </c>
      <c r="D3" s="58" t="s">
        <v>4</v>
      </c>
      <c r="E3" s="58"/>
      <c r="F3" s="17" t="s">
        <v>3</v>
      </c>
      <c r="G3" s="3">
        <v>45578</v>
      </c>
      <c r="H3" s="57" t="s">
        <v>8</v>
      </c>
      <c r="I3" s="57"/>
      <c r="J3" s="18" t="s">
        <v>145</v>
      </c>
      <c r="K3" s="62" t="s">
        <v>5</v>
      </c>
      <c r="L3" s="62"/>
      <c r="M3" s="17" t="s">
        <v>3</v>
      </c>
      <c r="N3" s="3">
        <v>45578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(12)'!D37</f>
        <v>110440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320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14880</v>
      </c>
      <c r="G5" s="10">
        <f>F4</f>
        <v>110440</v>
      </c>
      <c r="H5" s="8"/>
      <c r="I5" s="8"/>
      <c r="J5" s="6" t="s">
        <v>100</v>
      </c>
      <c r="K5" s="9" t="s">
        <v>0</v>
      </c>
      <c r="L5" s="8"/>
      <c r="M5" s="10">
        <v>300</v>
      </c>
      <c r="N5" s="10">
        <f>M4</f>
        <v>320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120</v>
      </c>
      <c r="G6" s="10">
        <f>G5+F5</f>
        <v>125320</v>
      </c>
      <c r="H6" s="8"/>
      <c r="I6" s="8"/>
      <c r="J6" s="6" t="s">
        <v>54</v>
      </c>
      <c r="K6" s="9" t="s">
        <v>0</v>
      </c>
      <c r="L6" s="27">
        <v>260</v>
      </c>
      <c r="M6" s="10">
        <v>1210</v>
      </c>
      <c r="N6" s="10">
        <f t="shared" ref="N6" si="0">N5+M5</f>
        <v>620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120</v>
      </c>
      <c r="G7" s="10">
        <f t="shared" ref="G7:G33" si="1">G6+F6</f>
        <v>125440</v>
      </c>
      <c r="H7" s="8"/>
      <c r="I7" s="8">
        <v>170</v>
      </c>
      <c r="J7" s="6" t="s">
        <v>174</v>
      </c>
      <c r="K7" s="9" t="s">
        <v>0</v>
      </c>
      <c r="L7" s="8">
        <v>163</v>
      </c>
      <c r="M7" s="10">
        <v>10730</v>
      </c>
      <c r="N7" s="10">
        <f>N6+M6</f>
        <v>1830</v>
      </c>
    </row>
    <row r="8" spans="1:14" s="11" customFormat="1" ht="21" customHeight="1" x14ac:dyDescent="0.25">
      <c r="A8" s="8"/>
      <c r="B8" s="8"/>
      <c r="C8" s="6" t="s">
        <v>323</v>
      </c>
      <c r="D8" s="9" t="s">
        <v>1</v>
      </c>
      <c r="E8" s="8"/>
      <c r="F8" s="10">
        <v>200000</v>
      </c>
      <c r="G8" s="10">
        <f t="shared" si="1"/>
        <v>125560</v>
      </c>
      <c r="H8" s="8"/>
      <c r="I8" s="8">
        <v>171</v>
      </c>
      <c r="J8" s="6" t="s">
        <v>175</v>
      </c>
      <c r="K8" s="9" t="s">
        <v>0</v>
      </c>
      <c r="L8" s="8">
        <v>191</v>
      </c>
      <c r="M8" s="10">
        <v>1130</v>
      </c>
      <c r="N8" s="10">
        <f t="shared" ref="N8:N34" si="2">N7+M7</f>
        <v>12560</v>
      </c>
    </row>
    <row r="9" spans="1:14" s="11" customFormat="1" ht="21" customHeight="1" x14ac:dyDescent="0.25">
      <c r="A9" s="8"/>
      <c r="B9" s="8"/>
      <c r="C9" s="6" t="s">
        <v>197</v>
      </c>
      <c r="D9" s="9" t="s">
        <v>1</v>
      </c>
      <c r="E9" s="8"/>
      <c r="F9" s="10">
        <v>23850</v>
      </c>
      <c r="G9" s="10">
        <f t="shared" si="1"/>
        <v>325560</v>
      </c>
      <c r="H9" s="8"/>
      <c r="I9" s="8">
        <v>172</v>
      </c>
      <c r="J9" s="6" t="s">
        <v>43</v>
      </c>
      <c r="K9" s="9" t="s">
        <v>0</v>
      </c>
      <c r="L9" s="8">
        <v>185</v>
      </c>
      <c r="M9" s="10">
        <v>45370</v>
      </c>
      <c r="N9" s="10">
        <f t="shared" si="2"/>
        <v>13690</v>
      </c>
    </row>
    <row r="10" spans="1:14" s="11" customFormat="1" ht="21" customHeight="1" x14ac:dyDescent="0.25">
      <c r="A10" s="8"/>
      <c r="B10" s="8"/>
      <c r="C10" s="6" t="s">
        <v>46</v>
      </c>
      <c r="D10" s="9" t="s">
        <v>1</v>
      </c>
      <c r="E10" s="8"/>
      <c r="F10" s="10">
        <v>9000</v>
      </c>
      <c r="G10" s="10">
        <f t="shared" si="1"/>
        <v>349410</v>
      </c>
      <c r="H10" s="8"/>
      <c r="I10" s="8">
        <v>173</v>
      </c>
      <c r="J10" s="6" t="s">
        <v>49</v>
      </c>
      <c r="K10" s="9" t="s">
        <v>0</v>
      </c>
      <c r="L10" s="8">
        <v>182</v>
      </c>
      <c r="M10" s="10">
        <v>34850</v>
      </c>
      <c r="N10" s="10">
        <f t="shared" si="2"/>
        <v>59060</v>
      </c>
    </row>
    <row r="11" spans="1:14" s="11" customFormat="1" ht="21" customHeight="1" x14ac:dyDescent="0.25">
      <c r="A11" s="8"/>
      <c r="B11" s="8"/>
      <c r="C11" s="6" t="s">
        <v>246</v>
      </c>
      <c r="D11" s="9" t="s">
        <v>1</v>
      </c>
      <c r="E11" s="8"/>
      <c r="F11" s="10">
        <v>6300</v>
      </c>
      <c r="G11" s="10">
        <f t="shared" si="1"/>
        <v>358410</v>
      </c>
      <c r="H11" s="8"/>
      <c r="I11" s="8">
        <v>174</v>
      </c>
      <c r="J11" s="6" t="s">
        <v>327</v>
      </c>
      <c r="K11" s="9" t="s">
        <v>0</v>
      </c>
      <c r="L11" s="8">
        <v>169</v>
      </c>
      <c r="M11" s="10">
        <v>67200</v>
      </c>
      <c r="N11" s="10">
        <f t="shared" si="2"/>
        <v>93910</v>
      </c>
    </row>
    <row r="12" spans="1:14" s="11" customFormat="1" ht="21" customHeight="1" x14ac:dyDescent="0.25">
      <c r="A12" s="8"/>
      <c r="B12" s="8"/>
      <c r="C12" s="6" t="s">
        <v>257</v>
      </c>
      <c r="D12" s="9" t="s">
        <v>1</v>
      </c>
      <c r="E12" s="8"/>
      <c r="F12" s="10">
        <v>3000</v>
      </c>
      <c r="G12" s="10">
        <f t="shared" si="1"/>
        <v>364710</v>
      </c>
      <c r="H12" s="8"/>
      <c r="I12" s="8">
        <v>175</v>
      </c>
      <c r="J12" s="6" t="s">
        <v>294</v>
      </c>
      <c r="K12" s="9" t="s">
        <v>0</v>
      </c>
      <c r="L12" s="8">
        <v>192</v>
      </c>
      <c r="M12" s="10">
        <v>4100</v>
      </c>
      <c r="N12" s="10">
        <f t="shared" si="2"/>
        <v>161110</v>
      </c>
    </row>
    <row r="13" spans="1:14" s="11" customFormat="1" ht="21" customHeight="1" x14ac:dyDescent="0.25">
      <c r="A13" s="8"/>
      <c r="B13" s="8"/>
      <c r="C13" s="6" t="s">
        <v>324</v>
      </c>
      <c r="D13" s="9" t="s">
        <v>1</v>
      </c>
      <c r="E13" s="8"/>
      <c r="F13" s="10">
        <v>100</v>
      </c>
      <c r="G13" s="10">
        <f t="shared" si="1"/>
        <v>367710</v>
      </c>
      <c r="H13" s="8"/>
      <c r="I13" s="8">
        <v>176</v>
      </c>
      <c r="J13" s="6" t="s">
        <v>328</v>
      </c>
      <c r="K13" s="9" t="s">
        <v>0</v>
      </c>
      <c r="L13" s="8">
        <v>187</v>
      </c>
      <c r="M13" s="10">
        <v>5360</v>
      </c>
      <c r="N13" s="10">
        <f t="shared" si="2"/>
        <v>165210</v>
      </c>
    </row>
    <row r="14" spans="1:14" s="11" customFormat="1" ht="21" customHeight="1" x14ac:dyDescent="0.25">
      <c r="A14" s="8"/>
      <c r="B14" s="8"/>
      <c r="C14" s="6" t="s">
        <v>85</v>
      </c>
      <c r="D14" s="9" t="s">
        <v>1</v>
      </c>
      <c r="E14" s="8"/>
      <c r="F14" s="10">
        <v>12380</v>
      </c>
      <c r="G14" s="10">
        <f t="shared" si="1"/>
        <v>367810</v>
      </c>
      <c r="H14" s="8"/>
      <c r="I14" s="8">
        <v>177</v>
      </c>
      <c r="J14" s="6" t="s">
        <v>258</v>
      </c>
      <c r="K14" s="9" t="s">
        <v>0</v>
      </c>
      <c r="L14" s="8">
        <v>186</v>
      </c>
      <c r="M14" s="10">
        <v>5780</v>
      </c>
      <c r="N14" s="10">
        <f t="shared" si="2"/>
        <v>170570</v>
      </c>
    </row>
    <row r="15" spans="1:14" s="11" customFormat="1" ht="21" customHeight="1" x14ac:dyDescent="0.25">
      <c r="A15" s="10"/>
      <c r="B15" s="10"/>
      <c r="C15" s="6" t="s">
        <v>169</v>
      </c>
      <c r="D15" s="9" t="s">
        <v>1</v>
      </c>
      <c r="E15" s="8"/>
      <c r="F15" s="10">
        <v>650</v>
      </c>
      <c r="G15" s="10">
        <f t="shared" si="1"/>
        <v>380190</v>
      </c>
      <c r="H15" s="10"/>
      <c r="I15" s="8">
        <v>178</v>
      </c>
      <c r="J15" s="6" t="s">
        <v>322</v>
      </c>
      <c r="K15" s="9" t="s">
        <v>0</v>
      </c>
      <c r="L15" s="8">
        <v>184</v>
      </c>
      <c r="M15" s="10">
        <v>4960</v>
      </c>
      <c r="N15" s="10">
        <f t="shared" si="2"/>
        <v>176350</v>
      </c>
    </row>
    <row r="16" spans="1:14" s="11" customFormat="1" ht="21" customHeight="1" x14ac:dyDescent="0.25">
      <c r="A16" s="10"/>
      <c r="B16" s="10"/>
      <c r="C16" s="6" t="s">
        <v>44</v>
      </c>
      <c r="D16" s="9" t="s">
        <v>1</v>
      </c>
      <c r="E16" s="8"/>
      <c r="F16" s="10">
        <v>4150</v>
      </c>
      <c r="G16" s="10">
        <f t="shared" si="1"/>
        <v>380840</v>
      </c>
      <c r="H16" s="10"/>
      <c r="I16" s="8">
        <v>179</v>
      </c>
      <c r="J16" s="6" t="s">
        <v>329</v>
      </c>
      <c r="K16" s="9" t="s">
        <v>0</v>
      </c>
      <c r="L16" s="8">
        <v>183</v>
      </c>
      <c r="M16" s="10">
        <v>3720</v>
      </c>
      <c r="N16" s="10">
        <f t="shared" si="2"/>
        <v>181310</v>
      </c>
    </row>
    <row r="17" spans="1:14" s="11" customFormat="1" ht="21" customHeight="1" x14ac:dyDescent="0.25">
      <c r="A17" s="10"/>
      <c r="B17" s="10"/>
      <c r="C17" s="6" t="s">
        <v>273</v>
      </c>
      <c r="D17" s="9" t="s">
        <v>1</v>
      </c>
      <c r="E17" s="8"/>
      <c r="F17" s="10">
        <v>3890</v>
      </c>
      <c r="G17" s="10">
        <f t="shared" si="1"/>
        <v>384990</v>
      </c>
      <c r="H17" s="10"/>
      <c r="I17" s="8">
        <v>180</v>
      </c>
      <c r="J17" s="6" t="s">
        <v>104</v>
      </c>
      <c r="K17" s="9" t="s">
        <v>0</v>
      </c>
      <c r="L17" s="8">
        <v>179</v>
      </c>
      <c r="M17" s="10">
        <v>4560</v>
      </c>
      <c r="N17" s="10">
        <f t="shared" si="2"/>
        <v>185030</v>
      </c>
    </row>
    <row r="18" spans="1:14" s="11" customFormat="1" ht="21" customHeight="1" x14ac:dyDescent="0.25">
      <c r="A18" s="10"/>
      <c r="B18" s="10"/>
      <c r="C18" s="6" t="s">
        <v>325</v>
      </c>
      <c r="D18" s="9" t="s">
        <v>1</v>
      </c>
      <c r="E18" s="8"/>
      <c r="F18" s="10">
        <v>13410</v>
      </c>
      <c r="G18" s="10">
        <f t="shared" si="1"/>
        <v>388880</v>
      </c>
      <c r="H18" s="10"/>
      <c r="I18" s="8">
        <v>181</v>
      </c>
      <c r="J18" s="6" t="s">
        <v>276</v>
      </c>
      <c r="K18" s="9" t="s">
        <v>0</v>
      </c>
      <c r="L18" s="8">
        <v>181</v>
      </c>
      <c r="M18" s="10">
        <v>5470</v>
      </c>
      <c r="N18" s="10">
        <f t="shared" si="2"/>
        <v>189590</v>
      </c>
    </row>
    <row r="19" spans="1:14" s="11" customFormat="1" ht="21" customHeight="1" x14ac:dyDescent="0.25">
      <c r="A19" s="10"/>
      <c r="B19" s="10"/>
      <c r="C19" s="6" t="s">
        <v>111</v>
      </c>
      <c r="D19" s="9" t="s">
        <v>1</v>
      </c>
      <c r="E19" s="8"/>
      <c r="F19" s="10">
        <v>3150</v>
      </c>
      <c r="G19" s="10">
        <f t="shared" si="1"/>
        <v>402290</v>
      </c>
      <c r="H19" s="10"/>
      <c r="I19" s="8">
        <v>182</v>
      </c>
      <c r="J19" s="6" t="s">
        <v>245</v>
      </c>
      <c r="K19" s="9" t="s">
        <v>0</v>
      </c>
      <c r="L19" s="8">
        <v>178</v>
      </c>
      <c r="M19" s="10">
        <v>32090</v>
      </c>
      <c r="N19" s="10">
        <f t="shared" si="2"/>
        <v>195060</v>
      </c>
    </row>
    <row r="20" spans="1:14" s="11" customFormat="1" ht="21" customHeight="1" x14ac:dyDescent="0.25">
      <c r="A20" s="10"/>
      <c r="B20" s="10"/>
      <c r="C20" s="6" t="s">
        <v>326</v>
      </c>
      <c r="D20" s="9" t="s">
        <v>1</v>
      </c>
      <c r="E20" s="8"/>
      <c r="F20" s="10">
        <v>4950</v>
      </c>
      <c r="G20" s="10">
        <f t="shared" si="1"/>
        <v>405440</v>
      </c>
      <c r="H20" s="10"/>
      <c r="I20" s="8">
        <v>183</v>
      </c>
      <c r="J20" s="6" t="s">
        <v>330</v>
      </c>
      <c r="K20" s="9" t="s">
        <v>0</v>
      </c>
      <c r="L20" s="8">
        <v>176</v>
      </c>
      <c r="M20" s="10">
        <v>2010</v>
      </c>
      <c r="N20" s="10">
        <f t="shared" si="2"/>
        <v>227150</v>
      </c>
    </row>
    <row r="21" spans="1:14" s="11" customFormat="1" ht="21" customHeight="1" x14ac:dyDescent="0.25">
      <c r="A21" s="10"/>
      <c r="B21" s="10"/>
      <c r="C21" s="6" t="s">
        <v>18</v>
      </c>
      <c r="D21" s="9" t="s">
        <v>1</v>
      </c>
      <c r="E21" s="8"/>
      <c r="F21" s="10">
        <v>3060</v>
      </c>
      <c r="G21" s="10">
        <f t="shared" si="1"/>
        <v>410390</v>
      </c>
      <c r="H21" s="10"/>
      <c r="I21" s="8">
        <v>184</v>
      </c>
      <c r="J21" s="6" t="s">
        <v>169</v>
      </c>
      <c r="K21" s="9" t="s">
        <v>0</v>
      </c>
      <c r="L21" s="8">
        <v>174</v>
      </c>
      <c r="M21" s="10">
        <v>6070</v>
      </c>
      <c r="N21" s="10">
        <f t="shared" si="2"/>
        <v>229160</v>
      </c>
    </row>
    <row r="22" spans="1:14" s="11" customFormat="1" ht="21" customHeight="1" x14ac:dyDescent="0.25">
      <c r="A22" s="10"/>
      <c r="B22" s="10"/>
      <c r="C22" s="6" t="s">
        <v>290</v>
      </c>
      <c r="D22" s="9" t="s">
        <v>1</v>
      </c>
      <c r="E22" s="8"/>
      <c r="F22" s="10">
        <v>3010</v>
      </c>
      <c r="G22" s="10">
        <f t="shared" si="1"/>
        <v>413450</v>
      </c>
      <c r="H22" s="10"/>
      <c r="I22" s="8">
        <v>185</v>
      </c>
      <c r="J22" s="6" t="s">
        <v>273</v>
      </c>
      <c r="K22" s="9" t="s">
        <v>0</v>
      </c>
      <c r="L22" s="8">
        <v>175</v>
      </c>
      <c r="M22" s="10">
        <v>3150</v>
      </c>
      <c r="N22" s="10">
        <f t="shared" si="2"/>
        <v>235230</v>
      </c>
    </row>
    <row r="23" spans="1:14" s="11" customFormat="1" ht="21" customHeight="1" x14ac:dyDescent="0.25">
      <c r="A23" s="10"/>
      <c r="B23" s="10"/>
      <c r="C23" s="6" t="s">
        <v>322</v>
      </c>
      <c r="D23" s="9" t="s">
        <v>1</v>
      </c>
      <c r="E23" s="8"/>
      <c r="F23" s="10">
        <v>6680</v>
      </c>
      <c r="G23" s="10">
        <f t="shared" si="1"/>
        <v>416460</v>
      </c>
      <c r="H23" s="10"/>
      <c r="I23" s="8">
        <v>186</v>
      </c>
      <c r="J23" s="6" t="s">
        <v>48</v>
      </c>
      <c r="K23" s="9" t="s">
        <v>0</v>
      </c>
      <c r="L23" s="8">
        <v>173</v>
      </c>
      <c r="M23" s="10">
        <v>4210</v>
      </c>
      <c r="N23" s="10">
        <f t="shared" si="2"/>
        <v>238380</v>
      </c>
    </row>
    <row r="24" spans="1:14" s="11" customFormat="1" ht="21" customHeight="1" x14ac:dyDescent="0.25">
      <c r="A24" s="10"/>
      <c r="B24" s="10"/>
      <c r="C24" s="6" t="s">
        <v>19</v>
      </c>
      <c r="D24" s="9" t="s">
        <v>1</v>
      </c>
      <c r="E24" s="8"/>
      <c r="F24" s="10">
        <v>14700</v>
      </c>
      <c r="G24" s="10">
        <f t="shared" si="1"/>
        <v>423140</v>
      </c>
      <c r="H24" s="10"/>
      <c r="I24" s="8">
        <v>187</v>
      </c>
      <c r="J24" s="6" t="s">
        <v>19</v>
      </c>
      <c r="K24" s="9" t="s">
        <v>0</v>
      </c>
      <c r="L24" s="8">
        <v>166</v>
      </c>
      <c r="M24" s="10">
        <v>10280</v>
      </c>
      <c r="N24" s="10">
        <f t="shared" si="2"/>
        <v>242590</v>
      </c>
    </row>
    <row r="25" spans="1:14" s="11" customFormat="1" ht="21" customHeight="1" x14ac:dyDescent="0.25">
      <c r="A25" s="10"/>
      <c r="B25" s="10"/>
      <c r="C25" s="6" t="s">
        <v>39</v>
      </c>
      <c r="D25" s="9" t="s">
        <v>1</v>
      </c>
      <c r="E25" s="8"/>
      <c r="F25" s="10">
        <v>27500</v>
      </c>
      <c r="G25" s="10">
        <f t="shared" si="1"/>
        <v>437840</v>
      </c>
      <c r="H25" s="10"/>
      <c r="I25" s="8">
        <v>188</v>
      </c>
      <c r="J25" s="6" t="s">
        <v>331</v>
      </c>
      <c r="K25" s="9" t="s">
        <v>0</v>
      </c>
      <c r="L25" s="8">
        <v>172</v>
      </c>
      <c r="M25" s="10">
        <v>3110</v>
      </c>
      <c r="N25" s="10">
        <f t="shared" si="2"/>
        <v>252870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465340</v>
      </c>
      <c r="H26" s="10"/>
      <c r="I26" s="8">
        <v>189</v>
      </c>
      <c r="J26" s="6" t="s">
        <v>332</v>
      </c>
      <c r="K26" s="9" t="s">
        <v>0</v>
      </c>
      <c r="L26" s="8">
        <v>170</v>
      </c>
      <c r="M26" s="10">
        <v>6850</v>
      </c>
      <c r="N26" s="10">
        <f t="shared" si="2"/>
        <v>255980</v>
      </c>
    </row>
    <row r="27" spans="1:14" s="11" customFormat="1" ht="21" customHeight="1" x14ac:dyDescent="0.25">
      <c r="A27" s="10"/>
      <c r="B27" s="10"/>
      <c r="C27" s="10" t="s">
        <v>336</v>
      </c>
      <c r="D27" s="9" t="s">
        <v>1</v>
      </c>
      <c r="E27" s="8"/>
      <c r="F27" s="10"/>
      <c r="G27" s="10">
        <f t="shared" si="1"/>
        <v>465340</v>
      </c>
      <c r="H27" s="10"/>
      <c r="I27" s="8">
        <v>190</v>
      </c>
      <c r="J27" s="6" t="s">
        <v>333</v>
      </c>
      <c r="K27" s="9" t="s">
        <v>0</v>
      </c>
      <c r="L27" s="8">
        <v>168</v>
      </c>
      <c r="M27" s="10">
        <v>17860</v>
      </c>
      <c r="N27" s="10">
        <f t="shared" si="2"/>
        <v>262830</v>
      </c>
    </row>
    <row r="28" spans="1:14" s="11" customFormat="1" ht="21" customHeight="1" x14ac:dyDescent="0.25">
      <c r="A28" s="10"/>
      <c r="B28" s="10"/>
      <c r="C28" s="10" t="s">
        <v>337</v>
      </c>
      <c r="D28" s="9" t="s">
        <v>1</v>
      </c>
      <c r="E28" s="8"/>
      <c r="F28" s="10"/>
      <c r="G28" s="10">
        <f t="shared" si="1"/>
        <v>465340</v>
      </c>
      <c r="H28" s="10"/>
      <c r="I28" s="8">
        <v>191</v>
      </c>
      <c r="J28" s="6" t="s">
        <v>334</v>
      </c>
      <c r="K28" s="9" t="s">
        <v>0</v>
      </c>
      <c r="L28" s="8">
        <v>167</v>
      </c>
      <c r="M28" s="10">
        <v>7530</v>
      </c>
      <c r="N28" s="10">
        <f t="shared" si="2"/>
        <v>280690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465340</v>
      </c>
      <c r="H29" s="10"/>
      <c r="I29" s="8">
        <v>192</v>
      </c>
      <c r="J29" s="6" t="s">
        <v>85</v>
      </c>
      <c r="K29" s="9" t="s">
        <v>0</v>
      </c>
      <c r="L29" s="26">
        <v>189171</v>
      </c>
      <c r="M29" s="10">
        <v>30280</v>
      </c>
      <c r="N29" s="10">
        <f t="shared" si="2"/>
        <v>288220</v>
      </c>
    </row>
    <row r="30" spans="1:14" s="11" customFormat="1" ht="21" customHeight="1" x14ac:dyDescent="0.25">
      <c r="A30" s="10"/>
      <c r="B30" s="10"/>
      <c r="C30" s="10"/>
      <c r="D30" s="9" t="s">
        <v>1</v>
      </c>
      <c r="E30" s="8"/>
      <c r="F30" s="10"/>
      <c r="G30" s="10">
        <f t="shared" si="1"/>
        <v>465340</v>
      </c>
      <c r="H30" s="10"/>
      <c r="I30" s="8">
        <v>193</v>
      </c>
      <c r="J30" s="6" t="s">
        <v>335</v>
      </c>
      <c r="K30" s="9" t="s">
        <v>0</v>
      </c>
      <c r="L30" s="8">
        <v>190</v>
      </c>
      <c r="M30" s="10">
        <v>210</v>
      </c>
      <c r="N30" s="10">
        <f t="shared" si="2"/>
        <v>318500</v>
      </c>
    </row>
    <row r="31" spans="1:14" s="11" customFormat="1" ht="21" customHeight="1" x14ac:dyDescent="0.25">
      <c r="A31" s="10"/>
      <c r="B31" s="10"/>
      <c r="C31" s="6" t="s">
        <v>338</v>
      </c>
      <c r="D31" s="9" t="s">
        <v>1</v>
      </c>
      <c r="E31" s="8"/>
      <c r="F31" s="10"/>
      <c r="G31" s="10">
        <f t="shared" si="1"/>
        <v>465340</v>
      </c>
      <c r="H31" s="10"/>
      <c r="I31" s="8">
        <v>194</v>
      </c>
      <c r="J31" s="6" t="s">
        <v>18</v>
      </c>
      <c r="K31" s="9" t="s">
        <v>0</v>
      </c>
      <c r="L31" s="8">
        <v>164</v>
      </c>
      <c r="M31" s="10">
        <v>7590</v>
      </c>
      <c r="N31" s="10">
        <f t="shared" si="2"/>
        <v>318710</v>
      </c>
    </row>
    <row r="32" spans="1:14" s="11" customFormat="1" ht="21" customHeight="1" x14ac:dyDescent="0.25">
      <c r="A32" s="10"/>
      <c r="B32" s="10"/>
      <c r="C32" s="23" t="s">
        <v>339</v>
      </c>
      <c r="D32" s="9" t="s">
        <v>1</v>
      </c>
      <c r="E32" s="8"/>
      <c r="F32" s="10"/>
      <c r="G32" s="10">
        <f t="shared" si="1"/>
        <v>465340</v>
      </c>
      <c r="H32" s="10"/>
      <c r="I32" s="8">
        <v>195</v>
      </c>
      <c r="J32" s="6" t="s">
        <v>44</v>
      </c>
      <c r="K32" s="9" t="s">
        <v>0</v>
      </c>
      <c r="L32" s="8">
        <v>165</v>
      </c>
      <c r="M32" s="10">
        <v>20610</v>
      </c>
      <c r="N32" s="10">
        <f t="shared" si="2"/>
        <v>326300</v>
      </c>
    </row>
    <row r="33" spans="1:14" s="11" customFormat="1" ht="21" customHeight="1" x14ac:dyDescent="0.25">
      <c r="A33" s="10"/>
      <c r="B33" s="10"/>
      <c r="C33" s="6" t="s">
        <v>340</v>
      </c>
      <c r="D33" s="9" t="s">
        <v>1</v>
      </c>
      <c r="E33" s="8"/>
      <c r="F33" s="10"/>
      <c r="G33" s="10">
        <f t="shared" si="1"/>
        <v>465340</v>
      </c>
      <c r="H33" s="10"/>
      <c r="I33" s="8">
        <v>196</v>
      </c>
      <c r="J33" s="6" t="s">
        <v>39</v>
      </c>
      <c r="K33" s="9" t="s">
        <v>0</v>
      </c>
      <c r="L33" s="8">
        <v>161</v>
      </c>
      <c r="M33" s="10">
        <v>27500</v>
      </c>
      <c r="N33" s="10">
        <f t="shared" si="2"/>
        <v>346910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465340</v>
      </c>
      <c r="H34" s="10"/>
      <c r="I34" s="10"/>
      <c r="J34" s="10"/>
      <c r="K34" s="9" t="s">
        <v>0</v>
      </c>
      <c r="L34" s="10"/>
      <c r="M34" s="10"/>
      <c r="N34" s="10">
        <f t="shared" si="2"/>
        <v>374410</v>
      </c>
    </row>
    <row r="35" spans="1:14" ht="31.5" customHeight="1" x14ac:dyDescent="0.25">
      <c r="A35" s="46" t="s">
        <v>9</v>
      </c>
      <c r="B35" s="46"/>
      <c r="C35" s="47"/>
      <c r="D35" s="54">
        <f>G34+F34</f>
        <v>465340</v>
      </c>
      <c r="E35" s="54"/>
      <c r="F35" s="54"/>
      <c r="G35" s="54"/>
      <c r="H35" s="48" t="s">
        <v>10</v>
      </c>
      <c r="I35" s="48"/>
      <c r="J35" s="49"/>
      <c r="K35" s="54">
        <f>N34+M34</f>
        <v>374410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374410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90930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N49"/>
  <sheetViews>
    <sheetView view="pageBreakPreview" topLeftCell="A19" zoomScale="115" zoomScaleNormal="145" zoomScaleSheetLayoutView="115" zoomScalePageLayoutView="85" workbookViewId="0">
      <selection activeCell="C32" sqref="C32:C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341</v>
      </c>
      <c r="D3" s="58" t="s">
        <v>4</v>
      </c>
      <c r="E3" s="58"/>
      <c r="F3" s="17" t="s">
        <v>3</v>
      </c>
      <c r="G3" s="3">
        <v>45579</v>
      </c>
      <c r="H3" s="57" t="s">
        <v>8</v>
      </c>
      <c r="I3" s="57"/>
      <c r="J3" s="18" t="s">
        <v>341</v>
      </c>
      <c r="K3" s="62" t="s">
        <v>5</v>
      </c>
      <c r="L3" s="62"/>
      <c r="M3" s="17" t="s">
        <v>3</v>
      </c>
      <c r="N3" s="3">
        <v>45579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(13)'!D37</f>
        <v>90930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200</v>
      </c>
      <c r="N4" s="8" t="s">
        <v>2</v>
      </c>
    </row>
    <row r="5" spans="1:14" s="11" customFormat="1" ht="21" customHeight="1" x14ac:dyDescent="0.25">
      <c r="A5" s="8"/>
      <c r="B5" s="8"/>
      <c r="C5" s="6" t="s">
        <v>77</v>
      </c>
      <c r="D5" s="9" t="s">
        <v>1</v>
      </c>
      <c r="E5" s="8"/>
      <c r="F5" s="10">
        <v>19340</v>
      </c>
      <c r="G5" s="10">
        <f>F4</f>
        <v>90930</v>
      </c>
      <c r="H5" s="8"/>
      <c r="I5" s="8"/>
      <c r="J5" s="6" t="s">
        <v>100</v>
      </c>
      <c r="K5" s="9" t="s">
        <v>0</v>
      </c>
      <c r="L5" s="8"/>
      <c r="M5" s="10">
        <v>250</v>
      </c>
      <c r="N5" s="10">
        <f>M4</f>
        <v>200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160</v>
      </c>
      <c r="G6" s="10">
        <f>G5+F5</f>
        <v>110270</v>
      </c>
      <c r="H6" s="8"/>
      <c r="I6" s="8"/>
      <c r="J6" s="6" t="s">
        <v>54</v>
      </c>
      <c r="K6" s="9" t="s">
        <v>0</v>
      </c>
      <c r="L6" s="8">
        <v>200</v>
      </c>
      <c r="M6" s="10">
        <v>1450</v>
      </c>
      <c r="N6" s="10">
        <f t="shared" ref="N6" si="0">N5+M5</f>
        <v>450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160</v>
      </c>
      <c r="G7" s="10">
        <f t="shared" ref="G7:G37" si="1">G6+F6</f>
        <v>110430</v>
      </c>
      <c r="H7" s="8"/>
      <c r="I7" s="8">
        <v>197</v>
      </c>
      <c r="J7" s="6" t="s">
        <v>174</v>
      </c>
      <c r="K7" s="9" t="s">
        <v>0</v>
      </c>
      <c r="L7" s="8">
        <v>200</v>
      </c>
      <c r="M7" s="10">
        <v>30740</v>
      </c>
      <c r="N7" s="10">
        <f>N6+M6</f>
        <v>1900</v>
      </c>
    </row>
    <row r="8" spans="1:14" s="11" customFormat="1" ht="21" customHeight="1" x14ac:dyDescent="0.25">
      <c r="A8" s="8"/>
      <c r="B8" s="8"/>
      <c r="C8" s="6" t="s">
        <v>353</v>
      </c>
      <c r="D8" s="9" t="s">
        <v>1</v>
      </c>
      <c r="E8" s="8"/>
      <c r="F8" s="10">
        <v>400000</v>
      </c>
      <c r="G8" s="10">
        <f t="shared" si="1"/>
        <v>110590</v>
      </c>
      <c r="H8" s="8"/>
      <c r="I8" s="8">
        <v>198</v>
      </c>
      <c r="J8" s="6" t="s">
        <v>344</v>
      </c>
      <c r="K8" s="9" t="s">
        <v>0</v>
      </c>
      <c r="L8" s="8">
        <v>202</v>
      </c>
      <c r="M8" s="10">
        <v>34360</v>
      </c>
      <c r="N8" s="10">
        <f t="shared" ref="N8:N37" si="2">N7+M7</f>
        <v>32640</v>
      </c>
    </row>
    <row r="9" spans="1:14" s="11" customFormat="1" ht="21" customHeight="1" x14ac:dyDescent="0.25">
      <c r="A9" s="8"/>
      <c r="B9" s="8"/>
      <c r="C9" s="6" t="s">
        <v>49</v>
      </c>
      <c r="D9" s="9" t="s">
        <v>1</v>
      </c>
      <c r="E9" s="8"/>
      <c r="F9" s="10">
        <v>25000</v>
      </c>
      <c r="G9" s="10">
        <f t="shared" si="1"/>
        <v>510590</v>
      </c>
      <c r="H9" s="8"/>
      <c r="I9" s="8">
        <v>199</v>
      </c>
      <c r="J9" s="6" t="s">
        <v>345</v>
      </c>
      <c r="K9" s="9" t="s">
        <v>0</v>
      </c>
      <c r="L9" s="8">
        <v>195</v>
      </c>
      <c r="M9" s="10">
        <v>70050</v>
      </c>
      <c r="N9" s="10">
        <f t="shared" si="2"/>
        <v>67000</v>
      </c>
    </row>
    <row r="10" spans="1:14" s="11" customFormat="1" ht="21" customHeight="1" x14ac:dyDescent="0.25">
      <c r="A10" s="8"/>
      <c r="B10" s="8"/>
      <c r="C10" s="6" t="s">
        <v>48</v>
      </c>
      <c r="D10" s="9" t="s">
        <v>1</v>
      </c>
      <c r="E10" s="8"/>
      <c r="F10" s="10">
        <v>4210</v>
      </c>
      <c r="G10" s="10">
        <f t="shared" si="1"/>
        <v>535590</v>
      </c>
      <c r="H10" s="8"/>
      <c r="I10" s="8">
        <v>200</v>
      </c>
      <c r="J10" s="6" t="s">
        <v>81</v>
      </c>
      <c r="K10" s="9" t="s">
        <v>0</v>
      </c>
      <c r="L10" s="8">
        <v>197</v>
      </c>
      <c r="M10" s="10">
        <v>14710</v>
      </c>
      <c r="N10" s="10">
        <f t="shared" si="2"/>
        <v>137050</v>
      </c>
    </row>
    <row r="11" spans="1:14" s="11" customFormat="1" ht="21" customHeight="1" x14ac:dyDescent="0.25">
      <c r="A11" s="8"/>
      <c r="B11" s="8"/>
      <c r="C11" s="6" t="s">
        <v>50</v>
      </c>
      <c r="D11" s="9" t="s">
        <v>1</v>
      </c>
      <c r="E11" s="8"/>
      <c r="F11" s="10">
        <v>3200</v>
      </c>
      <c r="G11" s="10">
        <f t="shared" si="1"/>
        <v>539800</v>
      </c>
      <c r="H11" s="8"/>
      <c r="I11" s="8">
        <v>201</v>
      </c>
      <c r="J11" s="6" t="s">
        <v>46</v>
      </c>
      <c r="K11" s="9" t="s">
        <v>0</v>
      </c>
      <c r="L11" s="8">
        <v>194</v>
      </c>
      <c r="M11" s="10">
        <v>27890</v>
      </c>
      <c r="N11" s="10">
        <f t="shared" si="2"/>
        <v>151760</v>
      </c>
    </row>
    <row r="12" spans="1:14" s="11" customFormat="1" ht="21" customHeight="1" x14ac:dyDescent="0.25">
      <c r="A12" s="8"/>
      <c r="B12" s="8"/>
      <c r="C12" s="6" t="s">
        <v>18</v>
      </c>
      <c r="D12" s="9" t="s">
        <v>1</v>
      </c>
      <c r="E12" s="8"/>
      <c r="F12" s="10">
        <v>7590</v>
      </c>
      <c r="G12" s="10">
        <f t="shared" si="1"/>
        <v>543000</v>
      </c>
      <c r="H12" s="8"/>
      <c r="I12" s="8">
        <v>202</v>
      </c>
      <c r="J12" s="6" t="s">
        <v>48</v>
      </c>
      <c r="K12" s="9" t="s">
        <v>0</v>
      </c>
      <c r="L12" s="8">
        <v>200</v>
      </c>
      <c r="M12" s="10">
        <v>4970</v>
      </c>
      <c r="N12" s="10">
        <f t="shared" si="2"/>
        <v>179650</v>
      </c>
    </row>
    <row r="13" spans="1:14" s="11" customFormat="1" ht="21" customHeight="1" x14ac:dyDescent="0.25">
      <c r="A13" s="8"/>
      <c r="B13" s="8"/>
      <c r="C13" s="6" t="s">
        <v>19</v>
      </c>
      <c r="D13" s="9" t="s">
        <v>1</v>
      </c>
      <c r="E13" s="8"/>
      <c r="F13" s="10">
        <v>10280</v>
      </c>
      <c r="G13" s="10">
        <f t="shared" si="1"/>
        <v>550590</v>
      </c>
      <c r="H13" s="8"/>
      <c r="I13" s="8">
        <v>203</v>
      </c>
      <c r="J13" s="6" t="s">
        <v>247</v>
      </c>
      <c r="K13" s="9" t="s">
        <v>0</v>
      </c>
      <c r="L13" s="8">
        <v>196</v>
      </c>
      <c r="M13" s="10">
        <v>22310</v>
      </c>
      <c r="N13" s="10">
        <f t="shared" si="2"/>
        <v>184620</v>
      </c>
    </row>
    <row r="14" spans="1:14" s="11" customFormat="1" ht="21" customHeight="1" x14ac:dyDescent="0.25">
      <c r="A14" s="8"/>
      <c r="B14" s="8"/>
      <c r="C14" s="6" t="s">
        <v>333</v>
      </c>
      <c r="D14" s="9" t="s">
        <v>1</v>
      </c>
      <c r="E14" s="8"/>
      <c r="F14" s="10">
        <v>17860</v>
      </c>
      <c r="G14" s="10">
        <f t="shared" si="1"/>
        <v>560870</v>
      </c>
      <c r="H14" s="8"/>
      <c r="I14" s="8">
        <v>204</v>
      </c>
      <c r="J14" s="6" t="s">
        <v>346</v>
      </c>
      <c r="K14" s="9" t="s">
        <v>0</v>
      </c>
      <c r="L14" s="8">
        <v>210</v>
      </c>
      <c r="M14" s="10">
        <v>11600</v>
      </c>
      <c r="N14" s="10">
        <f t="shared" si="2"/>
        <v>206930</v>
      </c>
    </row>
    <row r="15" spans="1:14" s="11" customFormat="1" ht="21" customHeight="1" x14ac:dyDescent="0.25">
      <c r="A15" s="10"/>
      <c r="B15" s="10"/>
      <c r="C15" s="6" t="s">
        <v>281</v>
      </c>
      <c r="D15" s="9" t="s">
        <v>1</v>
      </c>
      <c r="E15" s="8"/>
      <c r="F15" s="10">
        <v>6850</v>
      </c>
      <c r="G15" s="10">
        <f t="shared" si="1"/>
        <v>578730</v>
      </c>
      <c r="H15" s="10"/>
      <c r="I15" s="8">
        <v>205</v>
      </c>
      <c r="J15" s="6" t="s">
        <v>19</v>
      </c>
      <c r="K15" s="9" t="s">
        <v>0</v>
      </c>
      <c r="L15" s="8">
        <v>204</v>
      </c>
      <c r="M15" s="10">
        <v>9510</v>
      </c>
      <c r="N15" s="10">
        <f t="shared" si="2"/>
        <v>218530</v>
      </c>
    </row>
    <row r="16" spans="1:14" s="11" customFormat="1" ht="21" customHeight="1" x14ac:dyDescent="0.25">
      <c r="A16" s="10"/>
      <c r="B16" s="10"/>
      <c r="C16" s="6" t="s">
        <v>331</v>
      </c>
      <c r="D16" s="9" t="s">
        <v>1</v>
      </c>
      <c r="E16" s="8"/>
      <c r="F16" s="10">
        <v>3110</v>
      </c>
      <c r="G16" s="10">
        <f t="shared" si="1"/>
        <v>585580</v>
      </c>
      <c r="H16" s="10"/>
      <c r="I16" s="8">
        <v>206</v>
      </c>
      <c r="J16" s="6" t="s">
        <v>85</v>
      </c>
      <c r="K16" s="9" t="s">
        <v>0</v>
      </c>
      <c r="L16" s="8">
        <v>198</v>
      </c>
      <c r="M16" s="10">
        <v>25050</v>
      </c>
      <c r="N16" s="10">
        <f t="shared" si="2"/>
        <v>228040</v>
      </c>
    </row>
    <row r="17" spans="1:14" s="11" customFormat="1" ht="21" customHeight="1" x14ac:dyDescent="0.25">
      <c r="A17" s="10"/>
      <c r="B17" s="10"/>
      <c r="C17" s="6" t="s">
        <v>169</v>
      </c>
      <c r="D17" s="9" t="s">
        <v>1</v>
      </c>
      <c r="E17" s="8"/>
      <c r="F17" s="10">
        <v>6070</v>
      </c>
      <c r="G17" s="10">
        <f t="shared" si="1"/>
        <v>588690</v>
      </c>
      <c r="H17" s="10"/>
      <c r="I17" s="8">
        <v>207</v>
      </c>
      <c r="J17" s="6" t="s">
        <v>87</v>
      </c>
      <c r="K17" s="9" t="s">
        <v>0</v>
      </c>
      <c r="L17" s="8">
        <v>207</v>
      </c>
      <c r="M17" s="10">
        <v>8660</v>
      </c>
      <c r="N17" s="10">
        <f t="shared" si="2"/>
        <v>253090</v>
      </c>
    </row>
    <row r="18" spans="1:14" s="11" customFormat="1" ht="21" customHeight="1" x14ac:dyDescent="0.25">
      <c r="A18" s="10"/>
      <c r="B18" s="10"/>
      <c r="C18" s="6" t="s">
        <v>104</v>
      </c>
      <c r="D18" s="9" t="s">
        <v>1</v>
      </c>
      <c r="E18" s="8"/>
      <c r="F18" s="10">
        <v>4560</v>
      </c>
      <c r="G18" s="10">
        <f t="shared" si="1"/>
        <v>594760</v>
      </c>
      <c r="H18" s="10"/>
      <c r="I18" s="8">
        <v>208</v>
      </c>
      <c r="J18" s="6" t="s">
        <v>332</v>
      </c>
      <c r="K18" s="9" t="s">
        <v>0</v>
      </c>
      <c r="L18" s="8">
        <v>215</v>
      </c>
      <c r="M18" s="10">
        <v>7690</v>
      </c>
      <c r="N18" s="10">
        <f t="shared" si="2"/>
        <v>261750</v>
      </c>
    </row>
    <row r="19" spans="1:14" s="11" customFormat="1" ht="21" customHeight="1" x14ac:dyDescent="0.25">
      <c r="A19" s="10"/>
      <c r="B19" s="10"/>
      <c r="C19" s="6" t="s">
        <v>276</v>
      </c>
      <c r="D19" s="9" t="s">
        <v>1</v>
      </c>
      <c r="E19" s="8"/>
      <c r="F19" s="10">
        <v>5470</v>
      </c>
      <c r="G19" s="10">
        <f t="shared" si="1"/>
        <v>599320</v>
      </c>
      <c r="H19" s="10"/>
      <c r="I19" s="8">
        <v>209</v>
      </c>
      <c r="J19" s="6" t="s">
        <v>110</v>
      </c>
      <c r="K19" s="9" t="s">
        <v>0</v>
      </c>
      <c r="L19" s="8">
        <v>212</v>
      </c>
      <c r="M19" s="10">
        <v>2930</v>
      </c>
      <c r="N19" s="10">
        <f t="shared" si="2"/>
        <v>269440</v>
      </c>
    </row>
    <row r="20" spans="1:14" s="11" customFormat="1" ht="21" customHeight="1" x14ac:dyDescent="0.25">
      <c r="A20" s="10"/>
      <c r="B20" s="10"/>
      <c r="C20" s="6" t="s">
        <v>329</v>
      </c>
      <c r="D20" s="9" t="s">
        <v>1</v>
      </c>
      <c r="E20" s="8"/>
      <c r="F20" s="10">
        <v>3720</v>
      </c>
      <c r="G20" s="10">
        <f t="shared" si="1"/>
        <v>604790</v>
      </c>
      <c r="H20" s="10"/>
      <c r="I20" s="8">
        <v>210</v>
      </c>
      <c r="J20" s="6" t="s">
        <v>111</v>
      </c>
      <c r="K20" s="9" t="s">
        <v>0</v>
      </c>
      <c r="L20" s="8">
        <v>209</v>
      </c>
      <c r="M20" s="10">
        <v>6680</v>
      </c>
      <c r="N20" s="10">
        <f t="shared" si="2"/>
        <v>272370</v>
      </c>
    </row>
    <row r="21" spans="1:14" s="11" customFormat="1" ht="21" customHeight="1" x14ac:dyDescent="0.25">
      <c r="A21" s="10"/>
      <c r="B21" s="10"/>
      <c r="C21" s="6" t="s">
        <v>258</v>
      </c>
      <c r="D21" s="9" t="s">
        <v>1</v>
      </c>
      <c r="E21" s="8"/>
      <c r="F21" s="10">
        <v>5780</v>
      </c>
      <c r="G21" s="10">
        <f t="shared" si="1"/>
        <v>608510</v>
      </c>
      <c r="H21" s="10"/>
      <c r="I21" s="8">
        <v>211</v>
      </c>
      <c r="J21" s="6" t="s">
        <v>322</v>
      </c>
      <c r="K21" s="9" t="s">
        <v>0</v>
      </c>
      <c r="L21" s="8">
        <v>208</v>
      </c>
      <c r="M21" s="10">
        <v>2990</v>
      </c>
      <c r="N21" s="10">
        <f t="shared" si="2"/>
        <v>279050</v>
      </c>
    </row>
    <row r="22" spans="1:14" s="11" customFormat="1" ht="21" customHeight="1" x14ac:dyDescent="0.25">
      <c r="A22" s="10"/>
      <c r="B22" s="10"/>
      <c r="C22" s="6" t="s">
        <v>322</v>
      </c>
      <c r="D22" s="9" t="s">
        <v>1</v>
      </c>
      <c r="E22" s="8"/>
      <c r="F22" s="10">
        <v>4960</v>
      </c>
      <c r="G22" s="10">
        <f t="shared" si="1"/>
        <v>614290</v>
      </c>
      <c r="H22" s="10"/>
      <c r="I22" s="8">
        <v>212</v>
      </c>
      <c r="J22" s="6" t="s">
        <v>258</v>
      </c>
      <c r="K22" s="9" t="s">
        <v>0</v>
      </c>
      <c r="L22" s="8">
        <v>221</v>
      </c>
      <c r="M22" s="10">
        <v>500</v>
      </c>
      <c r="N22" s="10">
        <f t="shared" si="2"/>
        <v>282040</v>
      </c>
    </row>
    <row r="23" spans="1:14" s="11" customFormat="1" ht="21" customHeight="1" x14ac:dyDescent="0.25">
      <c r="A23" s="10"/>
      <c r="B23" s="10"/>
      <c r="C23" s="6" t="s">
        <v>82</v>
      </c>
      <c r="D23" s="9" t="s">
        <v>1</v>
      </c>
      <c r="E23" s="8"/>
      <c r="F23" s="10">
        <v>33700</v>
      </c>
      <c r="G23" s="10">
        <f t="shared" si="1"/>
        <v>619250</v>
      </c>
      <c r="H23" s="10"/>
      <c r="I23" s="8">
        <v>213</v>
      </c>
      <c r="J23" s="6" t="s">
        <v>245</v>
      </c>
      <c r="K23" s="9" t="s">
        <v>0</v>
      </c>
      <c r="L23" s="8">
        <v>199</v>
      </c>
      <c r="M23" s="10">
        <v>80550</v>
      </c>
      <c r="N23" s="10">
        <f t="shared" si="2"/>
        <v>282540</v>
      </c>
    </row>
    <row r="24" spans="1:14" s="11" customFormat="1" ht="21" customHeight="1" x14ac:dyDescent="0.25">
      <c r="A24" s="10"/>
      <c r="B24" s="10"/>
      <c r="C24" s="6"/>
      <c r="D24" s="21" t="s">
        <v>1</v>
      </c>
      <c r="E24" s="8"/>
      <c r="F24" s="10"/>
      <c r="G24" s="10">
        <f t="shared" si="1"/>
        <v>652950</v>
      </c>
      <c r="H24" s="10"/>
      <c r="I24" s="8">
        <v>214</v>
      </c>
      <c r="J24" s="6" t="s">
        <v>325</v>
      </c>
      <c r="K24" s="9" t="s">
        <v>0</v>
      </c>
      <c r="L24" s="8">
        <v>217</v>
      </c>
      <c r="M24" s="10">
        <v>4600</v>
      </c>
      <c r="N24" s="10">
        <f t="shared" si="2"/>
        <v>363090</v>
      </c>
    </row>
    <row r="25" spans="1:14" s="11" customFormat="1" ht="21" customHeight="1" x14ac:dyDescent="0.25">
      <c r="A25" s="10"/>
      <c r="B25" s="10"/>
      <c r="C25" s="6"/>
      <c r="D25" s="21" t="s">
        <v>1</v>
      </c>
      <c r="E25" s="8"/>
      <c r="F25" s="10"/>
      <c r="G25" s="22">
        <f t="shared" si="1"/>
        <v>652950</v>
      </c>
      <c r="H25" s="10"/>
      <c r="I25" s="8">
        <v>215</v>
      </c>
      <c r="J25" s="6" t="s">
        <v>347</v>
      </c>
      <c r="K25" s="9" t="s">
        <v>0</v>
      </c>
      <c r="L25" s="8">
        <v>205</v>
      </c>
      <c r="M25" s="10">
        <v>10920</v>
      </c>
      <c r="N25" s="10">
        <f t="shared" si="2"/>
        <v>367690</v>
      </c>
    </row>
    <row r="26" spans="1:14" s="11" customFormat="1" ht="21" customHeight="1" x14ac:dyDescent="0.25">
      <c r="A26" s="10"/>
      <c r="B26" s="10"/>
      <c r="C26" s="6"/>
      <c r="D26" s="21" t="s">
        <v>1</v>
      </c>
      <c r="E26" s="8"/>
      <c r="F26" s="10"/>
      <c r="G26" s="22">
        <f t="shared" si="1"/>
        <v>652950</v>
      </c>
      <c r="H26" s="10"/>
      <c r="I26" s="8">
        <v>216</v>
      </c>
      <c r="J26" s="6" t="s">
        <v>348</v>
      </c>
      <c r="K26" s="9" t="s">
        <v>0</v>
      </c>
      <c r="L26" s="8">
        <v>206</v>
      </c>
      <c r="M26" s="10">
        <v>6330</v>
      </c>
      <c r="N26" s="10">
        <f t="shared" si="2"/>
        <v>378610</v>
      </c>
    </row>
    <row r="27" spans="1:14" s="11" customFormat="1" ht="21" customHeight="1" x14ac:dyDescent="0.25">
      <c r="A27" s="10"/>
      <c r="B27" s="10"/>
      <c r="C27" s="6"/>
      <c r="D27" s="21" t="s">
        <v>1</v>
      </c>
      <c r="E27" s="8"/>
      <c r="F27" s="10"/>
      <c r="G27" s="22">
        <f t="shared" si="1"/>
        <v>652950</v>
      </c>
      <c r="H27" s="10"/>
      <c r="I27" s="8">
        <v>217</v>
      </c>
      <c r="J27" s="6" t="s">
        <v>171</v>
      </c>
      <c r="K27" s="9" t="s">
        <v>0</v>
      </c>
      <c r="L27" s="8">
        <v>211</v>
      </c>
      <c r="M27" s="10">
        <v>5930</v>
      </c>
      <c r="N27" s="10">
        <f t="shared" si="2"/>
        <v>384940</v>
      </c>
    </row>
    <row r="28" spans="1:14" s="11" customFormat="1" ht="21" customHeight="1" x14ac:dyDescent="0.25">
      <c r="A28" s="10"/>
      <c r="B28" s="10"/>
      <c r="C28" s="10" t="s">
        <v>357</v>
      </c>
      <c r="D28" s="21" t="s">
        <v>1</v>
      </c>
      <c r="E28" s="8"/>
      <c r="F28" s="10"/>
      <c r="G28" s="22">
        <f t="shared" si="1"/>
        <v>652950</v>
      </c>
      <c r="H28" s="10"/>
      <c r="I28" s="8">
        <v>218</v>
      </c>
      <c r="J28" s="6" t="s">
        <v>349</v>
      </c>
      <c r="K28" s="9" t="s">
        <v>0</v>
      </c>
      <c r="L28" s="8">
        <v>213</v>
      </c>
      <c r="M28" s="10">
        <v>550</v>
      </c>
      <c r="N28" s="10">
        <f t="shared" si="2"/>
        <v>390870</v>
      </c>
    </row>
    <row r="29" spans="1:14" s="11" customFormat="1" ht="21" customHeight="1" x14ac:dyDescent="0.25">
      <c r="A29" s="10"/>
      <c r="B29" s="10"/>
      <c r="C29" s="10" t="s">
        <v>358</v>
      </c>
      <c r="D29" s="21" t="s">
        <v>1</v>
      </c>
      <c r="E29" s="8"/>
      <c r="F29" s="10"/>
      <c r="G29" s="22">
        <f t="shared" si="1"/>
        <v>652950</v>
      </c>
      <c r="H29" s="10"/>
      <c r="I29" s="8">
        <v>219</v>
      </c>
      <c r="J29" s="6" t="s">
        <v>271</v>
      </c>
      <c r="K29" s="9" t="s">
        <v>0</v>
      </c>
      <c r="L29" s="8">
        <v>214</v>
      </c>
      <c r="M29" s="10">
        <v>720</v>
      </c>
      <c r="N29" s="10">
        <f t="shared" si="2"/>
        <v>391420</v>
      </c>
    </row>
    <row r="30" spans="1:14" s="11" customFormat="1" ht="21" customHeight="1" x14ac:dyDescent="0.25">
      <c r="A30" s="10"/>
      <c r="B30" s="10"/>
      <c r="C30" s="10"/>
      <c r="D30" s="21" t="s">
        <v>1</v>
      </c>
      <c r="E30" s="8"/>
      <c r="F30" s="10"/>
      <c r="G30" s="22">
        <f t="shared" si="1"/>
        <v>652950</v>
      </c>
      <c r="H30" s="10"/>
      <c r="I30" s="8">
        <v>220</v>
      </c>
      <c r="J30" s="6" t="s">
        <v>350</v>
      </c>
      <c r="K30" s="9" t="s">
        <v>0</v>
      </c>
      <c r="L30" s="8">
        <v>216</v>
      </c>
      <c r="M30" s="10">
        <v>39780</v>
      </c>
      <c r="N30" s="10">
        <f t="shared" si="2"/>
        <v>392140</v>
      </c>
    </row>
    <row r="31" spans="1:14" s="11" customFormat="1" ht="21" customHeight="1" x14ac:dyDescent="0.25">
      <c r="A31" s="10"/>
      <c r="B31" s="10"/>
      <c r="C31" s="10"/>
      <c r="D31" s="21" t="s">
        <v>1</v>
      </c>
      <c r="E31" s="8"/>
      <c r="F31" s="10"/>
      <c r="G31" s="22">
        <f t="shared" si="1"/>
        <v>652950</v>
      </c>
      <c r="H31" s="10"/>
      <c r="I31" s="8">
        <v>221</v>
      </c>
      <c r="J31" s="6" t="s">
        <v>351</v>
      </c>
      <c r="K31" s="9" t="s">
        <v>0</v>
      </c>
      <c r="L31" s="8">
        <v>218</v>
      </c>
      <c r="M31" s="10">
        <v>2970</v>
      </c>
      <c r="N31" s="10">
        <f t="shared" si="2"/>
        <v>431920</v>
      </c>
    </row>
    <row r="32" spans="1:14" s="11" customFormat="1" ht="21" customHeight="1" x14ac:dyDescent="0.25">
      <c r="A32" s="10"/>
      <c r="B32" s="10"/>
      <c r="C32" s="6" t="s">
        <v>354</v>
      </c>
      <c r="D32" s="21" t="s">
        <v>1</v>
      </c>
      <c r="E32" s="8"/>
      <c r="F32" s="10"/>
      <c r="G32" s="22">
        <f t="shared" si="1"/>
        <v>652950</v>
      </c>
      <c r="H32" s="10"/>
      <c r="I32" s="8">
        <v>222</v>
      </c>
      <c r="J32" s="6" t="s">
        <v>352</v>
      </c>
      <c r="K32" s="9" t="s">
        <v>0</v>
      </c>
      <c r="L32" s="8">
        <v>219</v>
      </c>
      <c r="M32" s="10">
        <v>12160</v>
      </c>
      <c r="N32" s="10">
        <f t="shared" si="2"/>
        <v>434890</v>
      </c>
    </row>
    <row r="33" spans="1:14" s="11" customFormat="1" ht="21" customHeight="1" x14ac:dyDescent="0.25">
      <c r="A33" s="10"/>
      <c r="B33" s="10"/>
      <c r="C33" s="23" t="s">
        <v>355</v>
      </c>
      <c r="D33" s="21" t="s">
        <v>1</v>
      </c>
      <c r="E33" s="8"/>
      <c r="F33" s="10"/>
      <c r="G33" s="22">
        <f t="shared" si="1"/>
        <v>652950</v>
      </c>
      <c r="H33" s="10"/>
      <c r="I33" s="8">
        <v>223</v>
      </c>
      <c r="J33" s="6" t="s">
        <v>276</v>
      </c>
      <c r="K33" s="9" t="s">
        <v>0</v>
      </c>
      <c r="L33" s="8">
        <v>220</v>
      </c>
      <c r="M33" s="10">
        <v>2500</v>
      </c>
      <c r="N33" s="10">
        <f t="shared" si="2"/>
        <v>447050</v>
      </c>
    </row>
    <row r="34" spans="1:14" s="11" customFormat="1" ht="21" customHeight="1" x14ac:dyDescent="0.25">
      <c r="A34" s="10"/>
      <c r="B34" s="10"/>
      <c r="C34" s="6" t="s">
        <v>356</v>
      </c>
      <c r="D34" s="21" t="s">
        <v>1</v>
      </c>
      <c r="E34" s="8"/>
      <c r="F34" s="10"/>
      <c r="G34" s="22">
        <f t="shared" si="1"/>
        <v>652950</v>
      </c>
      <c r="H34" s="10"/>
      <c r="I34" s="8">
        <v>224</v>
      </c>
      <c r="J34" s="6" t="s">
        <v>53</v>
      </c>
      <c r="K34" s="9" t="s">
        <v>0</v>
      </c>
      <c r="L34" s="8">
        <v>222</v>
      </c>
      <c r="M34" s="10">
        <v>2740</v>
      </c>
      <c r="N34" s="10">
        <f t="shared" si="2"/>
        <v>449550</v>
      </c>
    </row>
    <row r="35" spans="1:14" s="11" customFormat="1" ht="21" customHeight="1" x14ac:dyDescent="0.25">
      <c r="A35" s="10"/>
      <c r="B35" s="10"/>
      <c r="C35" s="6"/>
      <c r="D35" s="21" t="s">
        <v>1</v>
      </c>
      <c r="E35" s="8"/>
      <c r="F35" s="10"/>
      <c r="G35" s="22">
        <f t="shared" si="1"/>
        <v>652950</v>
      </c>
      <c r="H35" s="10"/>
      <c r="I35" s="29" t="s">
        <v>359</v>
      </c>
      <c r="J35" s="6" t="s">
        <v>82</v>
      </c>
      <c r="K35" s="9" t="s">
        <v>0</v>
      </c>
      <c r="L35" s="28">
        <v>193201</v>
      </c>
      <c r="M35" s="10">
        <v>33700</v>
      </c>
      <c r="N35" s="10">
        <f t="shared" si="2"/>
        <v>452290</v>
      </c>
    </row>
    <row r="36" spans="1:14" s="11" customFormat="1" ht="21" customHeight="1" x14ac:dyDescent="0.25">
      <c r="A36" s="10"/>
      <c r="B36" s="10"/>
      <c r="C36" s="6"/>
      <c r="D36" s="21" t="s">
        <v>1</v>
      </c>
      <c r="E36" s="8"/>
      <c r="F36" s="10"/>
      <c r="G36" s="22">
        <f t="shared" si="1"/>
        <v>652950</v>
      </c>
      <c r="H36" s="10"/>
      <c r="I36" s="10"/>
      <c r="J36" s="6" t="s">
        <v>342</v>
      </c>
      <c r="K36" s="9" t="s">
        <v>0</v>
      </c>
      <c r="L36" s="8"/>
      <c r="M36" s="10">
        <v>10000</v>
      </c>
      <c r="N36" s="10">
        <f t="shared" si="2"/>
        <v>485990</v>
      </c>
    </row>
    <row r="37" spans="1:14" s="11" customFormat="1" ht="21" customHeight="1" x14ac:dyDescent="0.25">
      <c r="A37" s="10"/>
      <c r="B37" s="10"/>
      <c r="C37" s="6"/>
      <c r="D37" s="21" t="s">
        <v>1</v>
      </c>
      <c r="E37" s="10"/>
      <c r="F37" s="10"/>
      <c r="G37" s="22">
        <f t="shared" si="1"/>
        <v>652950</v>
      </c>
      <c r="H37" s="10"/>
      <c r="I37" s="10"/>
      <c r="J37" s="6" t="s">
        <v>343</v>
      </c>
      <c r="K37" s="9" t="s">
        <v>0</v>
      </c>
      <c r="L37" s="10"/>
      <c r="M37" s="10">
        <v>16400</v>
      </c>
      <c r="N37" s="10">
        <f t="shared" si="2"/>
        <v>495990</v>
      </c>
    </row>
    <row r="38" spans="1:14" ht="31.5" customHeight="1" x14ac:dyDescent="0.25">
      <c r="A38" s="46" t="s">
        <v>9</v>
      </c>
      <c r="B38" s="46"/>
      <c r="C38" s="47"/>
      <c r="D38" s="54">
        <f>G37+F37</f>
        <v>652950</v>
      </c>
      <c r="E38" s="54"/>
      <c r="F38" s="54"/>
      <c r="G38" s="54"/>
      <c r="H38" s="48" t="s">
        <v>10</v>
      </c>
      <c r="I38" s="48"/>
      <c r="J38" s="49"/>
      <c r="K38" s="54">
        <f>N37+M37</f>
        <v>512390</v>
      </c>
      <c r="L38" s="54"/>
      <c r="M38" s="54"/>
      <c r="N38" s="54"/>
    </row>
    <row r="39" spans="1:14" ht="30.75" customHeight="1" x14ac:dyDescent="0.25">
      <c r="A39" s="48" t="s">
        <v>10</v>
      </c>
      <c r="B39" s="48"/>
      <c r="C39" s="49"/>
      <c r="D39" s="55">
        <f>K38</f>
        <v>512390</v>
      </c>
      <c r="E39" s="55"/>
      <c r="F39" s="55"/>
      <c r="G39" s="55"/>
      <c r="H39" s="59"/>
      <c r="I39" s="59"/>
      <c r="J39" s="13"/>
      <c r="K39" s="61"/>
      <c r="L39" s="61"/>
      <c r="M39" s="61"/>
      <c r="N39" s="14"/>
    </row>
    <row r="40" spans="1:14" ht="36.75" customHeight="1" x14ac:dyDescent="0.25">
      <c r="A40" s="50" t="s">
        <v>11</v>
      </c>
      <c r="B40" s="50"/>
      <c r="C40" s="51"/>
      <c r="D40" s="63">
        <f>D38-D39</f>
        <v>140560</v>
      </c>
      <c r="E40" s="63"/>
      <c r="F40" s="63"/>
      <c r="G40" s="63"/>
      <c r="H40" s="59"/>
      <c r="I40" s="59"/>
      <c r="J40" s="13"/>
      <c r="K40" s="60"/>
      <c r="L40" s="60"/>
      <c r="M40" s="60"/>
      <c r="N40" s="15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</sheetData>
  <mergeCells count="21">
    <mergeCell ref="A40:C40"/>
    <mergeCell ref="D40:G40"/>
    <mergeCell ref="H40:I40"/>
    <mergeCell ref="K40:M40"/>
    <mergeCell ref="A4:E4"/>
    <mergeCell ref="A38:C38"/>
    <mergeCell ref="D38:G38"/>
    <mergeCell ref="H38:J38"/>
    <mergeCell ref="K38:N38"/>
    <mergeCell ref="A39:C39"/>
    <mergeCell ref="D39:G39"/>
    <mergeCell ref="H39:I39"/>
    <mergeCell ref="K39:M39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N51"/>
  <sheetViews>
    <sheetView view="pageBreakPreview" topLeftCell="A22" zoomScale="115" zoomScaleNormal="145" zoomScaleSheetLayoutView="115" zoomScalePageLayoutView="85" workbookViewId="0">
      <selection activeCell="C37" sqref="C37:C3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224</v>
      </c>
      <c r="D3" s="58" t="s">
        <v>4</v>
      </c>
      <c r="E3" s="58"/>
      <c r="F3" s="17" t="s">
        <v>3</v>
      </c>
      <c r="G3" s="3">
        <v>45580</v>
      </c>
      <c r="H3" s="57" t="s">
        <v>8</v>
      </c>
      <c r="I3" s="57"/>
      <c r="J3" s="18" t="s">
        <v>224</v>
      </c>
      <c r="K3" s="62" t="s">
        <v>5</v>
      </c>
      <c r="L3" s="62"/>
      <c r="M3" s="17" t="s">
        <v>3</v>
      </c>
      <c r="N3" s="3">
        <v>45580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(14)'!D40</f>
        <v>140560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1000</v>
      </c>
      <c r="N4" s="8" t="s">
        <v>2</v>
      </c>
    </row>
    <row r="5" spans="1:14" s="11" customFormat="1" ht="21" customHeight="1" x14ac:dyDescent="0.25">
      <c r="A5" s="8"/>
      <c r="B5" s="8"/>
      <c r="C5" s="6" t="s">
        <v>14</v>
      </c>
      <c r="D5" s="9" t="s">
        <v>1</v>
      </c>
      <c r="E5" s="8"/>
      <c r="F5" s="10">
        <v>11970</v>
      </c>
      <c r="G5" s="10">
        <f>F4</f>
        <v>140560</v>
      </c>
      <c r="H5" s="8"/>
      <c r="I5" s="8"/>
      <c r="J5" s="6" t="s">
        <v>54</v>
      </c>
      <c r="K5" s="9" t="s">
        <v>0</v>
      </c>
      <c r="L5" s="8"/>
      <c r="M5" s="10">
        <v>690</v>
      </c>
      <c r="N5" s="10">
        <f>M4</f>
        <v>1000</v>
      </c>
    </row>
    <row r="6" spans="1:14" s="11" customFormat="1" ht="21" customHeight="1" x14ac:dyDescent="0.25">
      <c r="A6" s="8"/>
      <c r="B6" s="8"/>
      <c r="C6" s="6" t="s">
        <v>78</v>
      </c>
      <c r="D6" s="9" t="s">
        <v>1</v>
      </c>
      <c r="E6" s="8"/>
      <c r="F6" s="10">
        <v>130</v>
      </c>
      <c r="G6" s="10">
        <f>G5+F5</f>
        <v>152530</v>
      </c>
      <c r="H6" s="8"/>
      <c r="I6" s="8"/>
      <c r="J6" s="6" t="s">
        <v>100</v>
      </c>
      <c r="K6" s="9" t="s">
        <v>0</v>
      </c>
      <c r="L6" s="8"/>
      <c r="M6" s="10">
        <v>410</v>
      </c>
      <c r="N6" s="10">
        <f t="shared" ref="N6" si="0">N5+M5</f>
        <v>1690</v>
      </c>
    </row>
    <row r="7" spans="1:14" s="11" customFormat="1" ht="21" customHeight="1" x14ac:dyDescent="0.25">
      <c r="A7" s="8"/>
      <c r="B7" s="8"/>
      <c r="C7" s="6" t="s">
        <v>79</v>
      </c>
      <c r="D7" s="9" t="s">
        <v>1</v>
      </c>
      <c r="E7" s="8"/>
      <c r="F7" s="10">
        <v>130</v>
      </c>
      <c r="G7" s="10">
        <f t="shared" ref="G7:G39" si="1">G6+F6</f>
        <v>152660</v>
      </c>
      <c r="H7" s="8"/>
      <c r="I7" s="8">
        <v>227</v>
      </c>
      <c r="J7" s="6" t="s">
        <v>174</v>
      </c>
      <c r="K7" s="9" t="s">
        <v>0</v>
      </c>
      <c r="L7" s="8"/>
      <c r="M7" s="10">
        <v>6680</v>
      </c>
      <c r="N7" s="10">
        <f>N6+M6</f>
        <v>2100</v>
      </c>
    </row>
    <row r="8" spans="1:14" s="11" customFormat="1" ht="21" customHeight="1" x14ac:dyDescent="0.25">
      <c r="A8" s="8"/>
      <c r="B8" s="8"/>
      <c r="C8" s="6" t="s">
        <v>323</v>
      </c>
      <c r="D8" s="9" t="s">
        <v>1</v>
      </c>
      <c r="E8" s="8"/>
      <c r="F8" s="10">
        <v>50000</v>
      </c>
      <c r="G8" s="10">
        <f t="shared" si="1"/>
        <v>152790</v>
      </c>
      <c r="H8" s="8"/>
      <c r="I8" s="8">
        <v>228</v>
      </c>
      <c r="J8" s="6" t="s">
        <v>173</v>
      </c>
      <c r="K8" s="9" t="s">
        <v>0</v>
      </c>
      <c r="L8" s="8"/>
      <c r="M8" s="10">
        <v>10420</v>
      </c>
      <c r="N8" s="10">
        <f t="shared" ref="N8:N39" si="2">N7+M7</f>
        <v>8780</v>
      </c>
    </row>
    <row r="9" spans="1:14" s="11" customFormat="1" ht="21" customHeight="1" x14ac:dyDescent="0.25">
      <c r="A9" s="8"/>
      <c r="B9" s="8"/>
      <c r="C9" s="6" t="s">
        <v>363</v>
      </c>
      <c r="D9" s="9" t="s">
        <v>1</v>
      </c>
      <c r="E9" s="8"/>
      <c r="F9" s="10">
        <v>16400</v>
      </c>
      <c r="G9" s="10">
        <f t="shared" si="1"/>
        <v>202790</v>
      </c>
      <c r="H9" s="8"/>
      <c r="I9" s="8">
        <v>229</v>
      </c>
      <c r="J9" s="6" t="s">
        <v>175</v>
      </c>
      <c r="K9" s="9" t="s">
        <v>0</v>
      </c>
      <c r="L9" s="8"/>
      <c r="M9" s="10">
        <v>14050</v>
      </c>
      <c r="N9" s="10">
        <f t="shared" si="2"/>
        <v>19200</v>
      </c>
    </row>
    <row r="10" spans="1:14" s="11" customFormat="1" ht="21" customHeight="1" x14ac:dyDescent="0.25">
      <c r="A10" s="8"/>
      <c r="B10" s="8"/>
      <c r="C10" s="6" t="s">
        <v>174</v>
      </c>
      <c r="D10" s="9" t="s">
        <v>1</v>
      </c>
      <c r="E10" s="8"/>
      <c r="F10" s="10">
        <v>22610</v>
      </c>
      <c r="G10" s="10">
        <f t="shared" si="1"/>
        <v>219190</v>
      </c>
      <c r="H10" s="8"/>
      <c r="I10" s="8">
        <v>230</v>
      </c>
      <c r="J10" s="6" t="s">
        <v>43</v>
      </c>
      <c r="K10" s="9" t="s">
        <v>0</v>
      </c>
      <c r="L10" s="8"/>
      <c r="M10" s="10">
        <v>39410</v>
      </c>
      <c r="N10" s="10">
        <f t="shared" si="2"/>
        <v>33250</v>
      </c>
    </row>
    <row r="11" spans="1:14" s="11" customFormat="1" ht="21" customHeight="1" x14ac:dyDescent="0.25">
      <c r="A11" s="8"/>
      <c r="B11" s="8"/>
      <c r="C11" s="6" t="s">
        <v>173</v>
      </c>
      <c r="D11" s="9" t="s">
        <v>1</v>
      </c>
      <c r="E11" s="8"/>
      <c r="F11" s="10">
        <v>60000</v>
      </c>
      <c r="G11" s="10">
        <f t="shared" si="1"/>
        <v>241800</v>
      </c>
      <c r="H11" s="8"/>
      <c r="I11" s="8">
        <v>231</v>
      </c>
      <c r="J11" s="6" t="s">
        <v>46</v>
      </c>
      <c r="K11" s="9" t="s">
        <v>0</v>
      </c>
      <c r="L11" s="8"/>
      <c r="M11" s="10">
        <v>16500</v>
      </c>
      <c r="N11" s="10">
        <f t="shared" si="2"/>
        <v>72660</v>
      </c>
    </row>
    <row r="12" spans="1:14" s="11" customFormat="1" ht="21" customHeight="1" x14ac:dyDescent="0.25">
      <c r="A12" s="8"/>
      <c r="B12" s="8"/>
      <c r="C12" s="6" t="s">
        <v>175</v>
      </c>
      <c r="D12" s="9" t="s">
        <v>1</v>
      </c>
      <c r="E12" s="8"/>
      <c r="F12" s="10">
        <v>29350</v>
      </c>
      <c r="G12" s="10">
        <f t="shared" si="1"/>
        <v>301800</v>
      </c>
      <c r="H12" s="8"/>
      <c r="I12" s="8">
        <v>232</v>
      </c>
      <c r="J12" s="6" t="s">
        <v>49</v>
      </c>
      <c r="K12" s="9" t="s">
        <v>0</v>
      </c>
      <c r="L12" s="8"/>
      <c r="M12" s="10">
        <v>22280</v>
      </c>
      <c r="N12" s="10">
        <f t="shared" si="2"/>
        <v>89160</v>
      </c>
    </row>
    <row r="13" spans="1:14" s="11" customFormat="1" ht="21" customHeight="1" x14ac:dyDescent="0.25">
      <c r="A13" s="8"/>
      <c r="B13" s="8"/>
      <c r="C13" s="6" t="s">
        <v>320</v>
      </c>
      <c r="D13" s="9" t="s">
        <v>1</v>
      </c>
      <c r="E13" s="8"/>
      <c r="F13" s="10">
        <v>80000</v>
      </c>
      <c r="G13" s="10">
        <f t="shared" si="1"/>
        <v>331150</v>
      </c>
      <c r="H13" s="8"/>
      <c r="I13" s="8">
        <v>233</v>
      </c>
      <c r="J13" s="6" t="s">
        <v>360</v>
      </c>
      <c r="K13" s="9" t="s">
        <v>0</v>
      </c>
      <c r="L13" s="8"/>
      <c r="M13" s="10">
        <v>13150</v>
      </c>
      <c r="N13" s="10">
        <f t="shared" si="2"/>
        <v>111440</v>
      </c>
    </row>
    <row r="14" spans="1:14" s="11" customFormat="1" ht="21" customHeight="1" x14ac:dyDescent="0.25">
      <c r="A14" s="8"/>
      <c r="B14" s="8"/>
      <c r="C14" s="6" t="s">
        <v>321</v>
      </c>
      <c r="D14" s="9" t="s">
        <v>1</v>
      </c>
      <c r="E14" s="8"/>
      <c r="F14" s="10">
        <v>1930</v>
      </c>
      <c r="G14" s="10">
        <f t="shared" si="1"/>
        <v>411150</v>
      </c>
      <c r="H14" s="8"/>
      <c r="I14" s="8">
        <v>234</v>
      </c>
      <c r="J14" s="6" t="s">
        <v>44</v>
      </c>
      <c r="K14" s="9" t="s">
        <v>0</v>
      </c>
      <c r="L14" s="8"/>
      <c r="M14" s="10">
        <v>4830</v>
      </c>
      <c r="N14" s="10">
        <f t="shared" si="2"/>
        <v>124590</v>
      </c>
    </row>
    <row r="15" spans="1:14" s="11" customFormat="1" ht="21" customHeight="1" x14ac:dyDescent="0.25">
      <c r="A15" s="10"/>
      <c r="B15" s="10"/>
      <c r="C15" s="6" t="s">
        <v>44</v>
      </c>
      <c r="D15" s="9" t="s">
        <v>1</v>
      </c>
      <c r="E15" s="8"/>
      <c r="F15" s="10">
        <v>20610</v>
      </c>
      <c r="G15" s="10">
        <f t="shared" si="1"/>
        <v>413080</v>
      </c>
      <c r="H15" s="10"/>
      <c r="I15" s="8">
        <v>235</v>
      </c>
      <c r="J15" s="6" t="s">
        <v>294</v>
      </c>
      <c r="K15" s="9" t="s">
        <v>0</v>
      </c>
      <c r="L15" s="8"/>
      <c r="M15" s="10">
        <v>700</v>
      </c>
      <c r="N15" s="10">
        <f t="shared" si="2"/>
        <v>129420</v>
      </c>
    </row>
    <row r="16" spans="1:14" s="11" customFormat="1" ht="21" customHeight="1" x14ac:dyDescent="0.25">
      <c r="A16" s="10"/>
      <c r="B16" s="10"/>
      <c r="C16" s="6" t="s">
        <v>85</v>
      </c>
      <c r="D16" s="9" t="s">
        <v>1</v>
      </c>
      <c r="E16" s="8"/>
      <c r="F16" s="10">
        <v>55330</v>
      </c>
      <c r="G16" s="10">
        <f t="shared" si="1"/>
        <v>433690</v>
      </c>
      <c r="H16" s="10"/>
      <c r="I16" s="8">
        <v>236</v>
      </c>
      <c r="J16" s="6" t="s">
        <v>19</v>
      </c>
      <c r="K16" s="9" t="s">
        <v>0</v>
      </c>
      <c r="L16" s="8"/>
      <c r="M16" s="10">
        <v>3320</v>
      </c>
      <c r="N16" s="10">
        <f t="shared" si="2"/>
        <v>130120</v>
      </c>
    </row>
    <row r="17" spans="1:14" s="11" customFormat="1" ht="21" customHeight="1" x14ac:dyDescent="0.25">
      <c r="A17" s="10"/>
      <c r="B17" s="10"/>
      <c r="C17" s="6" t="s">
        <v>273</v>
      </c>
      <c r="D17" s="9" t="s">
        <v>1</v>
      </c>
      <c r="E17" s="8"/>
      <c r="F17" s="10">
        <v>3150</v>
      </c>
      <c r="G17" s="10">
        <f t="shared" si="1"/>
        <v>489020</v>
      </c>
      <c r="H17" s="10"/>
      <c r="I17" s="8">
        <v>237</v>
      </c>
      <c r="J17" s="6" t="s">
        <v>85</v>
      </c>
      <c r="K17" s="9" t="s">
        <v>0</v>
      </c>
      <c r="L17" s="8"/>
      <c r="M17" s="10">
        <v>55250</v>
      </c>
      <c r="N17" s="10">
        <f t="shared" si="2"/>
        <v>133440</v>
      </c>
    </row>
    <row r="18" spans="1:14" s="11" customFormat="1" ht="21" customHeight="1" x14ac:dyDescent="0.25">
      <c r="A18" s="10"/>
      <c r="B18" s="10"/>
      <c r="C18" s="6" t="s">
        <v>245</v>
      </c>
      <c r="D18" s="9" t="s">
        <v>1</v>
      </c>
      <c r="E18" s="8"/>
      <c r="F18" s="10">
        <v>30000</v>
      </c>
      <c r="G18" s="10">
        <f t="shared" si="1"/>
        <v>492170</v>
      </c>
      <c r="H18" s="10"/>
      <c r="I18" s="8">
        <v>238</v>
      </c>
      <c r="J18" s="6" t="s">
        <v>87</v>
      </c>
      <c r="K18" s="9" t="s">
        <v>0</v>
      </c>
      <c r="L18" s="8"/>
      <c r="M18" s="10">
        <v>2970</v>
      </c>
      <c r="N18" s="10">
        <f t="shared" si="2"/>
        <v>188690</v>
      </c>
    </row>
    <row r="19" spans="1:14" s="11" customFormat="1" ht="21" customHeight="1" x14ac:dyDescent="0.25">
      <c r="A19" s="10"/>
      <c r="B19" s="10"/>
      <c r="C19" s="6" t="s">
        <v>294</v>
      </c>
      <c r="D19" s="9" t="s">
        <v>1</v>
      </c>
      <c r="E19" s="8"/>
      <c r="F19" s="10">
        <v>4100</v>
      </c>
      <c r="G19" s="10">
        <f t="shared" si="1"/>
        <v>522170</v>
      </c>
      <c r="H19" s="10"/>
      <c r="I19" s="8">
        <v>239</v>
      </c>
      <c r="J19" s="6" t="s">
        <v>273</v>
      </c>
      <c r="K19" s="9" t="s">
        <v>0</v>
      </c>
      <c r="L19" s="8"/>
      <c r="M19" s="10">
        <v>7900</v>
      </c>
      <c r="N19" s="10">
        <f t="shared" si="2"/>
        <v>191660</v>
      </c>
    </row>
    <row r="20" spans="1:14" s="11" customFormat="1" ht="21" customHeight="1" x14ac:dyDescent="0.25">
      <c r="A20" s="10"/>
      <c r="B20" s="10"/>
      <c r="C20" s="6" t="s">
        <v>87</v>
      </c>
      <c r="D20" s="9" t="s">
        <v>1</v>
      </c>
      <c r="E20" s="8"/>
      <c r="F20" s="10">
        <v>8660</v>
      </c>
      <c r="G20" s="10">
        <f t="shared" si="1"/>
        <v>526270</v>
      </c>
      <c r="H20" s="10"/>
      <c r="I20" s="8">
        <v>240</v>
      </c>
      <c r="J20" s="6" t="s">
        <v>170</v>
      </c>
      <c r="K20" s="9" t="s">
        <v>0</v>
      </c>
      <c r="L20" s="8"/>
      <c r="M20" s="10">
        <v>1800</v>
      </c>
      <c r="N20" s="10">
        <f t="shared" si="2"/>
        <v>199560</v>
      </c>
    </row>
    <row r="21" spans="1:14" s="11" customFormat="1" ht="21" customHeight="1" x14ac:dyDescent="0.25">
      <c r="A21" s="10"/>
      <c r="B21" s="10"/>
      <c r="C21" s="6" t="s">
        <v>19</v>
      </c>
      <c r="D21" s="9" t="s">
        <v>1</v>
      </c>
      <c r="E21" s="8"/>
      <c r="F21" s="10">
        <v>9510</v>
      </c>
      <c r="G21" s="10">
        <f t="shared" si="1"/>
        <v>534930</v>
      </c>
      <c r="H21" s="10"/>
      <c r="I21" s="8">
        <v>241</v>
      </c>
      <c r="J21" s="6" t="s">
        <v>349</v>
      </c>
      <c r="K21" s="9" t="s">
        <v>0</v>
      </c>
      <c r="L21" s="8"/>
      <c r="M21" s="10">
        <v>8270</v>
      </c>
      <c r="N21" s="10">
        <f t="shared" si="2"/>
        <v>201360</v>
      </c>
    </row>
    <row r="22" spans="1:14" s="11" customFormat="1" ht="21" customHeight="1" x14ac:dyDescent="0.25">
      <c r="A22" s="10"/>
      <c r="B22" s="10"/>
      <c r="C22" s="6" t="s">
        <v>107</v>
      </c>
      <c r="D22" s="9" t="s">
        <v>1</v>
      </c>
      <c r="E22" s="8"/>
      <c r="F22" s="10">
        <v>2740</v>
      </c>
      <c r="G22" s="10">
        <f t="shared" si="1"/>
        <v>544440</v>
      </c>
      <c r="H22" s="10"/>
      <c r="I22" s="8">
        <v>242</v>
      </c>
      <c r="J22" s="6" t="s">
        <v>109</v>
      </c>
      <c r="K22" s="9" t="s">
        <v>0</v>
      </c>
      <c r="L22" s="8"/>
      <c r="M22" s="10">
        <v>2890</v>
      </c>
      <c r="N22" s="10">
        <f t="shared" si="2"/>
        <v>209630</v>
      </c>
    </row>
    <row r="23" spans="1:14" s="11" customFormat="1" ht="21" customHeight="1" x14ac:dyDescent="0.25">
      <c r="A23" s="10"/>
      <c r="B23" s="10"/>
      <c r="C23" s="6" t="s">
        <v>258</v>
      </c>
      <c r="D23" s="9" t="s">
        <v>1</v>
      </c>
      <c r="E23" s="8"/>
      <c r="F23" s="10">
        <v>500</v>
      </c>
      <c r="G23" s="10">
        <f t="shared" si="1"/>
        <v>547180</v>
      </c>
      <c r="H23" s="10"/>
      <c r="I23" s="8">
        <v>243</v>
      </c>
      <c r="J23" s="6" t="s">
        <v>110</v>
      </c>
      <c r="K23" s="9" t="s">
        <v>0</v>
      </c>
      <c r="L23" s="8"/>
      <c r="M23" s="10">
        <v>750</v>
      </c>
      <c r="N23" s="10">
        <f t="shared" si="2"/>
        <v>212520</v>
      </c>
    </row>
    <row r="24" spans="1:14" s="11" customFormat="1" ht="21" customHeight="1" x14ac:dyDescent="0.25">
      <c r="A24" s="10"/>
      <c r="B24" s="10"/>
      <c r="C24" s="6" t="s">
        <v>276</v>
      </c>
      <c r="D24" s="9" t="s">
        <v>1</v>
      </c>
      <c r="E24" s="8"/>
      <c r="F24" s="10">
        <v>2500</v>
      </c>
      <c r="G24" s="10">
        <f t="shared" si="1"/>
        <v>547680</v>
      </c>
      <c r="H24" s="10"/>
      <c r="I24" s="8">
        <v>244</v>
      </c>
      <c r="J24" s="6" t="s">
        <v>279</v>
      </c>
      <c r="K24" s="9" t="s">
        <v>0</v>
      </c>
      <c r="L24" s="8"/>
      <c r="M24" s="10">
        <v>4970</v>
      </c>
      <c r="N24" s="10">
        <f t="shared" si="2"/>
        <v>213270</v>
      </c>
    </row>
    <row r="25" spans="1:14" s="11" customFormat="1" ht="21" customHeight="1" x14ac:dyDescent="0.25">
      <c r="A25" s="10"/>
      <c r="B25" s="10"/>
      <c r="C25" s="6" t="s">
        <v>333</v>
      </c>
      <c r="D25" s="9" t="s">
        <v>1</v>
      </c>
      <c r="E25" s="8"/>
      <c r="F25" s="10">
        <v>12160</v>
      </c>
      <c r="G25" s="10">
        <f t="shared" si="1"/>
        <v>550180</v>
      </c>
      <c r="H25" s="10"/>
      <c r="I25" s="8">
        <v>245</v>
      </c>
      <c r="J25" s="6" t="s">
        <v>199</v>
      </c>
      <c r="K25" s="9" t="s">
        <v>0</v>
      </c>
      <c r="L25" s="8"/>
      <c r="M25" s="10">
        <v>8520</v>
      </c>
      <c r="N25" s="10">
        <f t="shared" si="2"/>
        <v>218240</v>
      </c>
    </row>
    <row r="26" spans="1:14" s="11" customFormat="1" ht="21" customHeight="1" x14ac:dyDescent="0.25">
      <c r="A26" s="10"/>
      <c r="B26" s="10"/>
      <c r="C26" s="6" t="s">
        <v>279</v>
      </c>
      <c r="D26" s="9" t="s">
        <v>1</v>
      </c>
      <c r="E26" s="8"/>
      <c r="F26" s="10">
        <v>2970</v>
      </c>
      <c r="G26" s="10">
        <f t="shared" si="1"/>
        <v>562340</v>
      </c>
      <c r="H26" s="10"/>
      <c r="I26" s="8">
        <v>246</v>
      </c>
      <c r="J26" s="6" t="s">
        <v>106</v>
      </c>
      <c r="K26" s="9" t="s">
        <v>0</v>
      </c>
      <c r="L26" s="8"/>
      <c r="M26" s="10">
        <v>3060</v>
      </c>
      <c r="N26" s="10">
        <f t="shared" si="2"/>
        <v>226760</v>
      </c>
    </row>
    <row r="27" spans="1:14" s="11" customFormat="1" ht="21" customHeight="1" x14ac:dyDescent="0.25">
      <c r="A27" s="10"/>
      <c r="B27" s="10"/>
      <c r="C27" s="6" t="s">
        <v>325</v>
      </c>
      <c r="D27" s="9" t="s">
        <v>1</v>
      </c>
      <c r="E27" s="8"/>
      <c r="F27" s="10">
        <v>4600</v>
      </c>
      <c r="G27" s="10">
        <f t="shared" si="1"/>
        <v>565310</v>
      </c>
      <c r="H27" s="10"/>
      <c r="I27" s="8">
        <v>247</v>
      </c>
      <c r="J27" s="6" t="s">
        <v>51</v>
      </c>
      <c r="K27" s="9" t="s">
        <v>0</v>
      </c>
      <c r="L27" s="8"/>
      <c r="M27" s="10">
        <v>1340</v>
      </c>
      <c r="N27" s="10">
        <f t="shared" si="2"/>
        <v>229820</v>
      </c>
    </row>
    <row r="28" spans="1:14" s="11" customFormat="1" ht="21" customHeight="1" x14ac:dyDescent="0.25">
      <c r="A28" s="10"/>
      <c r="B28" s="10"/>
      <c r="C28" s="6" t="s">
        <v>49</v>
      </c>
      <c r="D28" s="9" t="s">
        <v>1</v>
      </c>
      <c r="E28" s="8"/>
      <c r="F28" s="10">
        <v>25000</v>
      </c>
      <c r="G28" s="10">
        <f t="shared" si="1"/>
        <v>569910</v>
      </c>
      <c r="H28" s="10"/>
      <c r="I28" s="8">
        <v>248</v>
      </c>
      <c r="J28" s="6" t="s">
        <v>104</v>
      </c>
      <c r="K28" s="9" t="s">
        <v>0</v>
      </c>
      <c r="L28" s="8"/>
      <c r="M28" s="10">
        <v>430</v>
      </c>
      <c r="N28" s="10">
        <f t="shared" si="2"/>
        <v>231160</v>
      </c>
    </row>
    <row r="29" spans="1:14" s="11" customFormat="1" ht="21" customHeight="1" x14ac:dyDescent="0.25">
      <c r="A29" s="10"/>
      <c r="B29" s="10"/>
      <c r="C29" s="6" t="s">
        <v>281</v>
      </c>
      <c r="D29" s="9" t="s">
        <v>1</v>
      </c>
      <c r="E29" s="8"/>
      <c r="F29" s="10">
        <v>7690</v>
      </c>
      <c r="G29" s="10">
        <f t="shared" si="1"/>
        <v>594910</v>
      </c>
      <c r="H29" s="10"/>
      <c r="I29" s="8">
        <v>249</v>
      </c>
      <c r="J29" s="6" t="s">
        <v>245</v>
      </c>
      <c r="K29" s="9" t="s">
        <v>0</v>
      </c>
      <c r="L29" s="8"/>
      <c r="M29" s="10">
        <v>19440</v>
      </c>
      <c r="N29" s="10">
        <f t="shared" si="2"/>
        <v>231590</v>
      </c>
    </row>
    <row r="30" spans="1:14" s="11" customFormat="1" ht="21" customHeight="1" x14ac:dyDescent="0.25">
      <c r="A30" s="10"/>
      <c r="B30" s="10"/>
      <c r="C30" s="6" t="s">
        <v>271</v>
      </c>
      <c r="D30" s="9" t="s">
        <v>1</v>
      </c>
      <c r="E30" s="8"/>
      <c r="F30" s="10">
        <v>720</v>
      </c>
      <c r="G30" s="10">
        <f t="shared" si="1"/>
        <v>602600</v>
      </c>
      <c r="H30" s="10"/>
      <c r="I30" s="8">
        <v>250</v>
      </c>
      <c r="J30" s="6" t="s">
        <v>276</v>
      </c>
      <c r="K30" s="9" t="s">
        <v>0</v>
      </c>
      <c r="L30" s="8"/>
      <c r="M30" s="10">
        <v>1700</v>
      </c>
      <c r="N30" s="10">
        <f t="shared" si="2"/>
        <v>251030</v>
      </c>
    </row>
    <row r="31" spans="1:14" s="11" customFormat="1" ht="21" customHeight="1" x14ac:dyDescent="0.25">
      <c r="A31" s="10"/>
      <c r="B31" s="10"/>
      <c r="C31" s="6" t="s">
        <v>110</v>
      </c>
      <c r="D31" s="9" t="s">
        <v>1</v>
      </c>
      <c r="E31" s="8"/>
      <c r="F31" s="10">
        <v>2930</v>
      </c>
      <c r="G31" s="10">
        <f t="shared" si="1"/>
        <v>603320</v>
      </c>
      <c r="H31" s="10"/>
      <c r="I31" s="8">
        <v>251</v>
      </c>
      <c r="J31" s="6" t="s">
        <v>361</v>
      </c>
      <c r="K31" s="9" t="s">
        <v>0</v>
      </c>
      <c r="L31" s="8"/>
      <c r="M31" s="10">
        <v>1000</v>
      </c>
      <c r="N31" s="10">
        <f t="shared" si="2"/>
        <v>252730</v>
      </c>
    </row>
    <row r="32" spans="1:14" s="11" customFormat="1" ht="21" customHeight="1" x14ac:dyDescent="0.25">
      <c r="A32" s="10"/>
      <c r="B32" s="10"/>
      <c r="C32" s="6" t="s">
        <v>322</v>
      </c>
      <c r="D32" s="9" t="s">
        <v>1</v>
      </c>
      <c r="E32" s="8"/>
      <c r="F32" s="10">
        <v>2990</v>
      </c>
      <c r="G32" s="10">
        <f t="shared" si="1"/>
        <v>606250</v>
      </c>
      <c r="H32" s="10"/>
      <c r="I32" s="8">
        <v>252</v>
      </c>
      <c r="J32" s="6" t="s">
        <v>290</v>
      </c>
      <c r="K32" s="9" t="s">
        <v>0</v>
      </c>
      <c r="L32" s="8"/>
      <c r="M32" s="10">
        <v>10150</v>
      </c>
      <c r="N32" s="10">
        <f t="shared" si="2"/>
        <v>253730</v>
      </c>
    </row>
    <row r="33" spans="1:14" s="11" customFormat="1" ht="21" customHeight="1" x14ac:dyDescent="0.25">
      <c r="A33" s="10"/>
      <c r="B33" s="10"/>
      <c r="C33" s="6" t="s">
        <v>171</v>
      </c>
      <c r="D33" s="9" t="s">
        <v>1</v>
      </c>
      <c r="E33" s="8"/>
      <c r="F33" s="10">
        <v>5930</v>
      </c>
      <c r="G33" s="10">
        <f t="shared" si="1"/>
        <v>609240</v>
      </c>
      <c r="H33" s="10"/>
      <c r="I33" s="8">
        <v>253</v>
      </c>
      <c r="J33" s="6" t="s">
        <v>82</v>
      </c>
      <c r="K33" s="9" t="s">
        <v>0</v>
      </c>
      <c r="L33" s="8"/>
      <c r="M33" s="10">
        <v>38480</v>
      </c>
      <c r="N33" s="10">
        <f t="shared" si="2"/>
        <v>263880</v>
      </c>
    </row>
    <row r="34" spans="1:14" s="11" customFormat="1" ht="21" customHeight="1" x14ac:dyDescent="0.25">
      <c r="A34" s="10"/>
      <c r="B34" s="10"/>
      <c r="C34" s="6" t="s">
        <v>39</v>
      </c>
      <c r="D34" s="9" t="s">
        <v>1</v>
      </c>
      <c r="E34" s="10"/>
      <c r="F34" s="10">
        <v>38480</v>
      </c>
      <c r="G34" s="10">
        <f t="shared" si="1"/>
        <v>615170</v>
      </c>
      <c r="H34" s="10"/>
      <c r="I34" s="10"/>
      <c r="J34" s="6" t="s">
        <v>362</v>
      </c>
      <c r="K34" s="9" t="s">
        <v>0</v>
      </c>
      <c r="L34" s="10"/>
      <c r="M34" s="10">
        <v>50000</v>
      </c>
      <c r="N34" s="10">
        <f t="shared" si="2"/>
        <v>302360</v>
      </c>
    </row>
    <row r="35" spans="1:14" s="11" customFormat="1" ht="21" customHeight="1" x14ac:dyDescent="0.25">
      <c r="A35" s="10"/>
      <c r="B35" s="10"/>
      <c r="C35" s="6"/>
      <c r="D35" s="9"/>
      <c r="E35" s="8"/>
      <c r="F35" s="10"/>
      <c r="G35" s="10">
        <f t="shared" si="1"/>
        <v>653650</v>
      </c>
      <c r="H35" s="10"/>
      <c r="I35" s="8"/>
      <c r="J35" s="6"/>
      <c r="K35" s="9"/>
      <c r="L35" s="8"/>
      <c r="M35" s="10"/>
      <c r="N35" s="10">
        <f t="shared" si="2"/>
        <v>352360</v>
      </c>
    </row>
    <row r="36" spans="1:14" s="11" customFormat="1" ht="21" customHeight="1" x14ac:dyDescent="0.25">
      <c r="A36" s="10"/>
      <c r="B36" s="10"/>
      <c r="C36" s="6"/>
      <c r="D36" s="9"/>
      <c r="E36" s="8"/>
      <c r="F36" s="10"/>
      <c r="G36" s="30">
        <f t="shared" si="1"/>
        <v>653650</v>
      </c>
      <c r="H36" s="10"/>
      <c r="I36" s="8"/>
      <c r="J36" s="6"/>
      <c r="K36" s="9"/>
      <c r="L36" s="8"/>
      <c r="M36" s="10"/>
      <c r="N36" s="22">
        <f t="shared" si="2"/>
        <v>352360</v>
      </c>
    </row>
    <row r="37" spans="1:14" s="11" customFormat="1" ht="21" customHeight="1" x14ac:dyDescent="0.25">
      <c r="A37" s="10"/>
      <c r="B37" s="10"/>
      <c r="C37" s="10" t="s">
        <v>364</v>
      </c>
      <c r="D37" s="9"/>
      <c r="E37" s="8"/>
      <c r="F37" s="10"/>
      <c r="G37" s="30">
        <f t="shared" si="1"/>
        <v>653650</v>
      </c>
      <c r="H37" s="10"/>
      <c r="I37" s="8"/>
      <c r="J37" s="6" t="s">
        <v>366</v>
      </c>
      <c r="K37" s="9"/>
      <c r="L37" s="8"/>
      <c r="M37" s="10"/>
      <c r="N37" s="22">
        <f t="shared" si="2"/>
        <v>352360</v>
      </c>
    </row>
    <row r="38" spans="1:14" s="11" customFormat="1" ht="21" customHeight="1" x14ac:dyDescent="0.25">
      <c r="A38" s="10"/>
      <c r="B38" s="10"/>
      <c r="C38" s="10" t="s">
        <v>365</v>
      </c>
      <c r="D38" s="9"/>
      <c r="E38" s="8"/>
      <c r="F38" s="10"/>
      <c r="G38" s="30">
        <f t="shared" si="1"/>
        <v>653650</v>
      </c>
      <c r="H38" s="10"/>
      <c r="I38" s="8"/>
      <c r="J38" s="23" t="s">
        <v>367</v>
      </c>
      <c r="K38" s="9"/>
      <c r="L38" s="8"/>
      <c r="M38" s="10"/>
      <c r="N38" s="22">
        <f t="shared" si="2"/>
        <v>352360</v>
      </c>
    </row>
    <row r="39" spans="1:14" s="11" customFormat="1" ht="21" customHeight="1" x14ac:dyDescent="0.25">
      <c r="A39" s="10"/>
      <c r="B39" s="10"/>
      <c r="C39" s="6"/>
      <c r="D39" s="9"/>
      <c r="E39" s="10"/>
      <c r="F39" s="10"/>
      <c r="G39" s="30">
        <f t="shared" si="1"/>
        <v>653650</v>
      </c>
      <c r="H39" s="10"/>
      <c r="I39" s="10"/>
      <c r="J39" s="6" t="s">
        <v>368</v>
      </c>
      <c r="K39" s="9"/>
      <c r="L39" s="10"/>
      <c r="M39" s="10"/>
      <c r="N39" s="22">
        <f t="shared" si="2"/>
        <v>352360</v>
      </c>
    </row>
    <row r="40" spans="1:14" ht="31.5" customHeight="1" x14ac:dyDescent="0.25">
      <c r="A40" s="46" t="s">
        <v>9</v>
      </c>
      <c r="B40" s="46"/>
      <c r="C40" s="47"/>
      <c r="D40" s="54">
        <f>G39+F39</f>
        <v>653650</v>
      </c>
      <c r="E40" s="54"/>
      <c r="F40" s="54"/>
      <c r="G40" s="54"/>
      <c r="H40" s="48" t="s">
        <v>10</v>
      </c>
      <c r="I40" s="48"/>
      <c r="J40" s="49"/>
      <c r="K40" s="54">
        <f>N39+M39</f>
        <v>352360</v>
      </c>
      <c r="L40" s="54"/>
      <c r="M40" s="54"/>
      <c r="N40" s="54"/>
    </row>
    <row r="41" spans="1:14" ht="30.75" customHeight="1" x14ac:dyDescent="0.25">
      <c r="A41" s="48" t="s">
        <v>10</v>
      </c>
      <c r="B41" s="48"/>
      <c r="C41" s="49"/>
      <c r="D41" s="55">
        <f>K40</f>
        <v>352360</v>
      </c>
      <c r="E41" s="55"/>
      <c r="F41" s="55"/>
      <c r="G41" s="55"/>
      <c r="H41" s="59"/>
      <c r="I41" s="59"/>
      <c r="J41" s="13"/>
      <c r="K41" s="61"/>
      <c r="L41" s="61"/>
      <c r="M41" s="61"/>
      <c r="N41" s="14"/>
    </row>
    <row r="42" spans="1:14" ht="36.75" customHeight="1" x14ac:dyDescent="0.25">
      <c r="A42" s="50" t="s">
        <v>11</v>
      </c>
      <c r="B42" s="50"/>
      <c r="C42" s="51"/>
      <c r="D42" s="63">
        <f>D40-D41</f>
        <v>301290</v>
      </c>
      <c r="E42" s="63"/>
      <c r="F42" s="63"/>
      <c r="G42" s="63"/>
      <c r="H42" s="59"/>
      <c r="I42" s="59"/>
      <c r="J42" s="13"/>
      <c r="K42" s="60"/>
      <c r="L42" s="60"/>
      <c r="M42" s="60"/>
      <c r="N42" s="15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</sheetData>
  <mergeCells count="21">
    <mergeCell ref="A42:C42"/>
    <mergeCell ref="D42:G42"/>
    <mergeCell ref="H42:I42"/>
    <mergeCell ref="K42:M42"/>
    <mergeCell ref="A4:E4"/>
    <mergeCell ref="A40:C40"/>
    <mergeCell ref="D40:G40"/>
    <mergeCell ref="H40:J40"/>
    <mergeCell ref="K40:N40"/>
    <mergeCell ref="A41:C41"/>
    <mergeCell ref="D41:G41"/>
    <mergeCell ref="H41:I41"/>
    <mergeCell ref="K41:M41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N54"/>
  <sheetViews>
    <sheetView view="pageBreakPreview" topLeftCell="A22" zoomScale="115" zoomScaleNormal="145" zoomScaleSheetLayoutView="115" zoomScalePageLayoutView="85" workbookViewId="0">
      <selection activeCell="J40" sqref="J40:J42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251</v>
      </c>
      <c r="D3" s="58" t="s">
        <v>4</v>
      </c>
      <c r="E3" s="58"/>
      <c r="F3" s="17" t="s">
        <v>3</v>
      </c>
      <c r="G3" s="3">
        <v>46311</v>
      </c>
      <c r="H3" s="57" t="s">
        <v>8</v>
      </c>
      <c r="I3" s="57"/>
      <c r="J3" s="18" t="s">
        <v>251</v>
      </c>
      <c r="K3" s="62" t="s">
        <v>5</v>
      </c>
      <c r="L3" s="62"/>
      <c r="M3" s="17" t="s">
        <v>3</v>
      </c>
      <c r="N3" s="3">
        <v>46311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(15)'!D42</f>
        <v>301290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1110</v>
      </c>
      <c r="N4" s="8" t="s">
        <v>2</v>
      </c>
    </row>
    <row r="5" spans="1:14" s="11" customFormat="1" ht="15.75" customHeight="1" x14ac:dyDescent="0.25">
      <c r="A5" s="8"/>
      <c r="B5" s="8"/>
      <c r="C5" s="31" t="s">
        <v>14</v>
      </c>
      <c r="D5" s="32" t="s">
        <v>1</v>
      </c>
      <c r="E5" s="33"/>
      <c r="F5" s="20">
        <v>9360</v>
      </c>
      <c r="G5" s="20">
        <f>F4</f>
        <v>301290</v>
      </c>
      <c r="H5" s="33"/>
      <c r="I5" s="33"/>
      <c r="J5" s="31" t="s">
        <v>54</v>
      </c>
      <c r="K5" s="32" t="s">
        <v>0</v>
      </c>
      <c r="L5" s="33">
        <v>120</v>
      </c>
      <c r="M5" s="20">
        <v>720</v>
      </c>
      <c r="N5" s="20">
        <f>M4</f>
        <v>1110</v>
      </c>
    </row>
    <row r="6" spans="1:14" s="11" customFormat="1" ht="15.75" customHeight="1" x14ac:dyDescent="0.25">
      <c r="A6" s="8"/>
      <c r="B6" s="8"/>
      <c r="C6" s="31" t="s">
        <v>78</v>
      </c>
      <c r="D6" s="32" t="s">
        <v>1</v>
      </c>
      <c r="E6" s="33"/>
      <c r="F6" s="20">
        <v>110</v>
      </c>
      <c r="G6" s="20">
        <f>G5+F5</f>
        <v>310650</v>
      </c>
      <c r="H6" s="33"/>
      <c r="I6" s="33"/>
      <c r="J6" s="31" t="s">
        <v>100</v>
      </c>
      <c r="K6" s="32" t="s">
        <v>0</v>
      </c>
      <c r="L6" s="33"/>
      <c r="M6" s="20">
        <v>350</v>
      </c>
      <c r="N6" s="20">
        <f t="shared" ref="N6" si="0">N5+M5</f>
        <v>1830</v>
      </c>
    </row>
    <row r="7" spans="1:14" s="11" customFormat="1" ht="15.75" customHeight="1" x14ac:dyDescent="0.25">
      <c r="A7" s="8"/>
      <c r="B7" s="8"/>
      <c r="C7" s="31" t="s">
        <v>79</v>
      </c>
      <c r="D7" s="32" t="s">
        <v>1</v>
      </c>
      <c r="E7" s="33"/>
      <c r="F7" s="20">
        <v>110</v>
      </c>
      <c r="G7" s="20">
        <f t="shared" ref="G7:G42" si="1">G6+F6</f>
        <v>310760</v>
      </c>
      <c r="H7" s="33"/>
      <c r="I7" s="33"/>
      <c r="J7" s="31" t="s">
        <v>369</v>
      </c>
      <c r="K7" s="32" t="s">
        <v>0</v>
      </c>
      <c r="L7" s="33"/>
      <c r="M7" s="20">
        <v>1000</v>
      </c>
      <c r="N7" s="20">
        <f>N6+M6</f>
        <v>2180</v>
      </c>
    </row>
    <row r="8" spans="1:14" s="11" customFormat="1" ht="15.75" customHeight="1" x14ac:dyDescent="0.25">
      <c r="A8" s="8"/>
      <c r="B8" s="8"/>
      <c r="C8" s="31" t="s">
        <v>174</v>
      </c>
      <c r="D8" s="32" t="s">
        <v>1</v>
      </c>
      <c r="E8" s="33"/>
      <c r="F8" s="20">
        <v>30740</v>
      </c>
      <c r="G8" s="20">
        <f t="shared" si="1"/>
        <v>310870</v>
      </c>
      <c r="H8" s="33"/>
      <c r="I8" s="33">
        <v>254</v>
      </c>
      <c r="J8" s="31" t="s">
        <v>174</v>
      </c>
      <c r="K8" s="32" t="s">
        <v>0</v>
      </c>
      <c r="L8" s="33">
        <v>269</v>
      </c>
      <c r="M8" s="20">
        <v>7350</v>
      </c>
      <c r="N8" s="20">
        <f t="shared" ref="N8:N42" si="2">N7+M7</f>
        <v>3180</v>
      </c>
    </row>
    <row r="9" spans="1:14" s="11" customFormat="1" ht="15.75" customHeight="1" x14ac:dyDescent="0.25">
      <c r="A9" s="8"/>
      <c r="B9" s="8"/>
      <c r="C9" s="31" t="s">
        <v>173</v>
      </c>
      <c r="D9" s="32" t="s">
        <v>1</v>
      </c>
      <c r="E9" s="33"/>
      <c r="F9" s="20">
        <v>50000</v>
      </c>
      <c r="G9" s="20">
        <f t="shared" si="1"/>
        <v>341610</v>
      </c>
      <c r="H9" s="33"/>
      <c r="I9" s="33">
        <v>255</v>
      </c>
      <c r="J9" s="31" t="s">
        <v>173</v>
      </c>
      <c r="K9" s="32" t="s">
        <v>0</v>
      </c>
      <c r="L9" s="33">
        <v>249</v>
      </c>
      <c r="M9" s="20">
        <v>26700</v>
      </c>
      <c r="N9" s="20">
        <f t="shared" si="2"/>
        <v>10530</v>
      </c>
    </row>
    <row r="10" spans="1:14" s="11" customFormat="1" ht="15.75" customHeight="1" x14ac:dyDescent="0.25">
      <c r="A10" s="8"/>
      <c r="B10" s="8"/>
      <c r="C10" s="31" t="s">
        <v>175</v>
      </c>
      <c r="D10" s="32" t="s">
        <v>1</v>
      </c>
      <c r="E10" s="33"/>
      <c r="F10" s="20">
        <v>70050</v>
      </c>
      <c r="G10" s="20">
        <f t="shared" si="1"/>
        <v>391610</v>
      </c>
      <c r="H10" s="33"/>
      <c r="I10" s="33">
        <v>256</v>
      </c>
      <c r="J10" s="31" t="s">
        <v>43</v>
      </c>
      <c r="K10" s="32" t="s">
        <v>0</v>
      </c>
      <c r="L10" s="33">
        <v>258</v>
      </c>
      <c r="M10" s="20">
        <v>21540</v>
      </c>
      <c r="N10" s="20">
        <f t="shared" si="2"/>
        <v>37230</v>
      </c>
    </row>
    <row r="11" spans="1:14" s="11" customFormat="1" ht="15.75" customHeight="1" x14ac:dyDescent="0.25">
      <c r="A11" s="8"/>
      <c r="B11" s="8"/>
      <c r="C11" s="31" t="s">
        <v>43</v>
      </c>
      <c r="D11" s="32" t="s">
        <v>1</v>
      </c>
      <c r="E11" s="33"/>
      <c r="F11" s="20">
        <v>101240</v>
      </c>
      <c r="G11" s="20">
        <f t="shared" si="1"/>
        <v>461660</v>
      </c>
      <c r="H11" s="33"/>
      <c r="I11" s="33">
        <v>257</v>
      </c>
      <c r="J11" s="31" t="s">
        <v>46</v>
      </c>
      <c r="K11" s="32" t="s">
        <v>0</v>
      </c>
      <c r="L11" s="33">
        <v>259</v>
      </c>
      <c r="M11" s="20">
        <v>35060</v>
      </c>
      <c r="N11" s="20">
        <f t="shared" si="2"/>
        <v>58770</v>
      </c>
    </row>
    <row r="12" spans="1:14" s="11" customFormat="1" ht="15.75" customHeight="1" x14ac:dyDescent="0.25">
      <c r="A12" s="8"/>
      <c r="B12" s="8"/>
      <c r="C12" s="31" t="s">
        <v>46</v>
      </c>
      <c r="D12" s="32" t="s">
        <v>1</v>
      </c>
      <c r="E12" s="33"/>
      <c r="F12" s="20">
        <v>99650</v>
      </c>
      <c r="G12" s="20">
        <f t="shared" si="1"/>
        <v>562900</v>
      </c>
      <c r="H12" s="33"/>
      <c r="I12" s="33">
        <v>258</v>
      </c>
      <c r="J12" s="31" t="s">
        <v>49</v>
      </c>
      <c r="K12" s="32" t="s">
        <v>0</v>
      </c>
      <c r="L12" s="33">
        <v>262</v>
      </c>
      <c r="M12" s="20">
        <v>3980</v>
      </c>
      <c r="N12" s="20">
        <f t="shared" si="2"/>
        <v>93830</v>
      </c>
    </row>
    <row r="13" spans="1:14" s="11" customFormat="1" ht="15.75" customHeight="1" x14ac:dyDescent="0.25">
      <c r="A13" s="8"/>
      <c r="B13" s="8"/>
      <c r="C13" s="31" t="s">
        <v>320</v>
      </c>
      <c r="D13" s="32" t="s">
        <v>1</v>
      </c>
      <c r="E13" s="33"/>
      <c r="F13" s="20">
        <v>35000</v>
      </c>
      <c r="G13" s="20">
        <f t="shared" si="1"/>
        <v>662550</v>
      </c>
      <c r="H13" s="33"/>
      <c r="I13" s="33">
        <v>259</v>
      </c>
      <c r="J13" s="31" t="s">
        <v>320</v>
      </c>
      <c r="K13" s="32" t="s">
        <v>0</v>
      </c>
      <c r="L13" s="33">
        <v>261</v>
      </c>
      <c r="M13" s="20">
        <v>8640</v>
      </c>
      <c r="N13" s="20">
        <f t="shared" si="2"/>
        <v>97810</v>
      </c>
    </row>
    <row r="14" spans="1:14" s="11" customFormat="1" ht="15.75" customHeight="1" x14ac:dyDescent="0.25">
      <c r="A14" s="8"/>
      <c r="B14" s="8"/>
      <c r="C14" s="31" t="s">
        <v>245</v>
      </c>
      <c r="D14" s="32" t="s">
        <v>1</v>
      </c>
      <c r="E14" s="33"/>
      <c r="F14" s="20">
        <v>75000</v>
      </c>
      <c r="G14" s="20">
        <f t="shared" si="1"/>
        <v>697550</v>
      </c>
      <c r="H14" s="33"/>
      <c r="I14" s="33">
        <v>260</v>
      </c>
      <c r="J14" s="31" t="s">
        <v>328</v>
      </c>
      <c r="K14" s="32" t="s">
        <v>0</v>
      </c>
      <c r="L14" s="33">
        <v>266</v>
      </c>
      <c r="M14" s="20">
        <v>6320</v>
      </c>
      <c r="N14" s="20">
        <f t="shared" si="2"/>
        <v>106450</v>
      </c>
    </row>
    <row r="15" spans="1:14" s="11" customFormat="1" ht="15.75" customHeight="1" x14ac:dyDescent="0.25">
      <c r="A15" s="8"/>
      <c r="B15" s="8"/>
      <c r="C15" s="31" t="s">
        <v>370</v>
      </c>
      <c r="D15" s="32" t="s">
        <v>1</v>
      </c>
      <c r="E15" s="33"/>
      <c r="F15" s="20">
        <v>39500</v>
      </c>
      <c r="G15" s="20">
        <f t="shared" si="1"/>
        <v>772550</v>
      </c>
      <c r="H15" s="33"/>
      <c r="I15" s="33">
        <v>261</v>
      </c>
      <c r="J15" s="31" t="s">
        <v>44</v>
      </c>
      <c r="K15" s="32" t="s">
        <v>0</v>
      </c>
      <c r="L15" s="33">
        <v>252</v>
      </c>
      <c r="M15" s="20">
        <v>11530</v>
      </c>
      <c r="N15" s="20">
        <f t="shared" si="2"/>
        <v>112770</v>
      </c>
    </row>
    <row r="16" spans="1:14" s="11" customFormat="1" ht="15.75" customHeight="1" x14ac:dyDescent="0.25">
      <c r="A16" s="8"/>
      <c r="B16" s="8"/>
      <c r="C16" s="31" t="s">
        <v>378</v>
      </c>
      <c r="D16" s="32" t="s">
        <v>1</v>
      </c>
      <c r="E16" s="33"/>
      <c r="F16" s="20">
        <v>2010</v>
      </c>
      <c r="G16" s="20">
        <f t="shared" si="1"/>
        <v>812050</v>
      </c>
      <c r="H16" s="33"/>
      <c r="I16" s="33">
        <v>262</v>
      </c>
      <c r="J16" s="31" t="s">
        <v>294</v>
      </c>
      <c r="K16" s="32" t="s">
        <v>0</v>
      </c>
      <c r="L16" s="33">
        <v>273</v>
      </c>
      <c r="M16" s="20">
        <v>5000</v>
      </c>
      <c r="N16" s="20">
        <f t="shared" si="2"/>
        <v>124300</v>
      </c>
    </row>
    <row r="17" spans="1:14" s="11" customFormat="1" ht="15.75" customHeight="1" x14ac:dyDescent="0.25">
      <c r="A17" s="8"/>
      <c r="B17" s="8"/>
      <c r="C17" s="31" t="s">
        <v>347</v>
      </c>
      <c r="D17" s="32" t="s">
        <v>1</v>
      </c>
      <c r="E17" s="33"/>
      <c r="F17" s="20">
        <v>10920</v>
      </c>
      <c r="G17" s="20">
        <f t="shared" si="1"/>
        <v>814060</v>
      </c>
      <c r="H17" s="33"/>
      <c r="I17" s="33">
        <v>263</v>
      </c>
      <c r="J17" s="31" t="s">
        <v>347</v>
      </c>
      <c r="K17" s="32" t="s">
        <v>0</v>
      </c>
      <c r="L17" s="33">
        <v>275</v>
      </c>
      <c r="M17" s="20">
        <v>1880</v>
      </c>
      <c r="N17" s="20">
        <f t="shared" si="2"/>
        <v>129300</v>
      </c>
    </row>
    <row r="18" spans="1:14" s="11" customFormat="1" ht="15.75" customHeight="1" x14ac:dyDescent="0.25">
      <c r="A18" s="8"/>
      <c r="B18" s="8"/>
      <c r="C18" s="31" t="s">
        <v>169</v>
      </c>
      <c r="D18" s="32" t="s">
        <v>1</v>
      </c>
      <c r="E18" s="33"/>
      <c r="F18" s="20">
        <v>6330</v>
      </c>
      <c r="G18" s="20">
        <f t="shared" si="1"/>
        <v>824980</v>
      </c>
      <c r="H18" s="33"/>
      <c r="I18" s="33">
        <v>264</v>
      </c>
      <c r="J18" s="31" t="s">
        <v>19</v>
      </c>
      <c r="K18" s="32" t="s">
        <v>0</v>
      </c>
      <c r="L18" s="33">
        <v>268</v>
      </c>
      <c r="M18" s="20">
        <v>2700</v>
      </c>
      <c r="N18" s="20">
        <f t="shared" si="2"/>
        <v>131180</v>
      </c>
    </row>
    <row r="19" spans="1:14" s="11" customFormat="1" ht="15.75" customHeight="1" x14ac:dyDescent="0.25">
      <c r="A19" s="8"/>
      <c r="B19" s="8"/>
      <c r="C19" s="31" t="s">
        <v>349</v>
      </c>
      <c r="D19" s="32" t="s">
        <v>1</v>
      </c>
      <c r="E19" s="33"/>
      <c r="F19" s="20">
        <v>550</v>
      </c>
      <c r="G19" s="20">
        <f t="shared" si="1"/>
        <v>831310</v>
      </c>
      <c r="H19" s="33"/>
      <c r="I19" s="33">
        <v>265</v>
      </c>
      <c r="J19" s="31" t="s">
        <v>85</v>
      </c>
      <c r="K19" s="32" t="s">
        <v>0</v>
      </c>
      <c r="L19" s="33">
        <v>263</v>
      </c>
      <c r="M19" s="20">
        <v>11090</v>
      </c>
      <c r="N19" s="20">
        <f t="shared" si="2"/>
        <v>133880</v>
      </c>
    </row>
    <row r="20" spans="1:14" s="11" customFormat="1" ht="15.75" customHeight="1" x14ac:dyDescent="0.25">
      <c r="A20" s="8"/>
      <c r="B20" s="8"/>
      <c r="C20" s="31" t="s">
        <v>111</v>
      </c>
      <c r="D20" s="32" t="s">
        <v>1</v>
      </c>
      <c r="E20" s="33"/>
      <c r="F20" s="20">
        <v>6680</v>
      </c>
      <c r="G20" s="20">
        <f t="shared" si="1"/>
        <v>831860</v>
      </c>
      <c r="H20" s="33"/>
      <c r="I20" s="33">
        <v>266</v>
      </c>
      <c r="J20" s="31" t="s">
        <v>349</v>
      </c>
      <c r="K20" s="32" t="s">
        <v>0</v>
      </c>
      <c r="L20" s="33">
        <v>270</v>
      </c>
      <c r="M20" s="20">
        <v>4110</v>
      </c>
      <c r="N20" s="20">
        <f t="shared" si="2"/>
        <v>144970</v>
      </c>
    </row>
    <row r="21" spans="1:14" s="11" customFormat="1" ht="15.75" customHeight="1" x14ac:dyDescent="0.25">
      <c r="A21" s="10"/>
      <c r="B21" s="10"/>
      <c r="C21" s="31" t="s">
        <v>44</v>
      </c>
      <c r="D21" s="32" t="s">
        <v>1</v>
      </c>
      <c r="E21" s="33"/>
      <c r="F21" s="20">
        <v>4830</v>
      </c>
      <c r="G21" s="20">
        <f t="shared" si="1"/>
        <v>838540</v>
      </c>
      <c r="H21" s="20"/>
      <c r="I21" s="33">
        <v>267</v>
      </c>
      <c r="J21" s="31" t="s">
        <v>370</v>
      </c>
      <c r="K21" s="32" t="s">
        <v>0</v>
      </c>
      <c r="L21" s="33">
        <v>253</v>
      </c>
      <c r="M21" s="20">
        <v>4960</v>
      </c>
      <c r="N21" s="20">
        <f t="shared" si="2"/>
        <v>149080</v>
      </c>
    </row>
    <row r="22" spans="1:14" s="11" customFormat="1" ht="15.75" customHeight="1" x14ac:dyDescent="0.25">
      <c r="A22" s="10"/>
      <c r="B22" s="10"/>
      <c r="C22" s="31" t="s">
        <v>294</v>
      </c>
      <c r="D22" s="32" t="s">
        <v>1</v>
      </c>
      <c r="E22" s="33"/>
      <c r="F22" s="20">
        <v>700</v>
      </c>
      <c r="G22" s="20">
        <f t="shared" si="1"/>
        <v>843370</v>
      </c>
      <c r="H22" s="20"/>
      <c r="I22" s="33">
        <v>268</v>
      </c>
      <c r="J22" s="31" t="s">
        <v>281</v>
      </c>
      <c r="K22" s="32" t="s">
        <v>0</v>
      </c>
      <c r="L22" s="33">
        <v>267</v>
      </c>
      <c r="M22" s="20">
        <v>8060</v>
      </c>
      <c r="N22" s="20">
        <f t="shared" si="2"/>
        <v>154040</v>
      </c>
    </row>
    <row r="23" spans="1:14" s="11" customFormat="1" ht="15.75" customHeight="1" x14ac:dyDescent="0.25">
      <c r="A23" s="10"/>
      <c r="B23" s="10"/>
      <c r="C23" s="31" t="s">
        <v>19</v>
      </c>
      <c r="D23" s="32" t="s">
        <v>1</v>
      </c>
      <c r="E23" s="33"/>
      <c r="F23" s="20">
        <v>3320</v>
      </c>
      <c r="G23" s="20">
        <f t="shared" si="1"/>
        <v>844070</v>
      </c>
      <c r="H23" s="20"/>
      <c r="I23" s="33">
        <v>269</v>
      </c>
      <c r="J23" s="31" t="s">
        <v>110</v>
      </c>
      <c r="K23" s="32" t="s">
        <v>0</v>
      </c>
      <c r="L23" s="33">
        <v>250</v>
      </c>
      <c r="M23" s="20">
        <v>5750</v>
      </c>
      <c r="N23" s="20">
        <f t="shared" si="2"/>
        <v>162100</v>
      </c>
    </row>
    <row r="24" spans="1:14" s="11" customFormat="1" ht="15.75" customHeight="1" x14ac:dyDescent="0.25">
      <c r="A24" s="10"/>
      <c r="B24" s="10"/>
      <c r="C24" s="31" t="s">
        <v>87</v>
      </c>
      <c r="D24" s="32" t="s">
        <v>1</v>
      </c>
      <c r="E24" s="33"/>
      <c r="F24" s="20">
        <v>2970</v>
      </c>
      <c r="G24" s="20">
        <f t="shared" si="1"/>
        <v>847390</v>
      </c>
      <c r="H24" s="20"/>
      <c r="I24" s="33">
        <v>270</v>
      </c>
      <c r="J24" s="31" t="s">
        <v>111</v>
      </c>
      <c r="K24" s="32" t="s">
        <v>0</v>
      </c>
      <c r="L24" s="33">
        <v>251</v>
      </c>
      <c r="M24" s="20">
        <v>8780</v>
      </c>
      <c r="N24" s="20">
        <f t="shared" si="2"/>
        <v>167850</v>
      </c>
    </row>
    <row r="25" spans="1:14" s="11" customFormat="1" ht="15.75" customHeight="1" x14ac:dyDescent="0.25">
      <c r="A25" s="10"/>
      <c r="B25" s="10"/>
      <c r="C25" s="31" t="s">
        <v>170</v>
      </c>
      <c r="D25" s="32" t="s">
        <v>1</v>
      </c>
      <c r="E25" s="33"/>
      <c r="F25" s="20">
        <v>1800</v>
      </c>
      <c r="G25" s="20">
        <f t="shared" si="1"/>
        <v>850360</v>
      </c>
      <c r="H25" s="20"/>
      <c r="I25" s="33">
        <v>271</v>
      </c>
      <c r="J25" s="31" t="s">
        <v>371</v>
      </c>
      <c r="K25" s="32" t="s">
        <v>0</v>
      </c>
      <c r="L25" s="33">
        <v>280</v>
      </c>
      <c r="M25" s="20">
        <v>430</v>
      </c>
      <c r="N25" s="20">
        <f t="shared" si="2"/>
        <v>176630</v>
      </c>
    </row>
    <row r="26" spans="1:14" s="11" customFormat="1" ht="15.75" customHeight="1" x14ac:dyDescent="0.25">
      <c r="A26" s="10"/>
      <c r="B26" s="10"/>
      <c r="C26" s="31" t="s">
        <v>109</v>
      </c>
      <c r="D26" s="32" t="s">
        <v>1</v>
      </c>
      <c r="E26" s="33"/>
      <c r="F26" s="20">
        <v>2890</v>
      </c>
      <c r="G26" s="20">
        <f t="shared" si="1"/>
        <v>852160</v>
      </c>
      <c r="H26" s="20"/>
      <c r="I26" s="33">
        <v>272</v>
      </c>
      <c r="J26" s="31" t="s">
        <v>171</v>
      </c>
      <c r="K26" s="32" t="s">
        <v>0</v>
      </c>
      <c r="L26" s="33">
        <v>278</v>
      </c>
      <c r="M26" s="20">
        <v>1390</v>
      </c>
      <c r="N26" s="20">
        <f t="shared" si="2"/>
        <v>177060</v>
      </c>
    </row>
    <row r="27" spans="1:14" s="11" customFormat="1" ht="15.75" customHeight="1" x14ac:dyDescent="0.25">
      <c r="A27" s="10"/>
      <c r="B27" s="10"/>
      <c r="C27" s="31" t="s">
        <v>110</v>
      </c>
      <c r="D27" s="32" t="s">
        <v>1</v>
      </c>
      <c r="E27" s="33"/>
      <c r="F27" s="20">
        <v>750</v>
      </c>
      <c r="G27" s="20">
        <f t="shared" si="1"/>
        <v>855050</v>
      </c>
      <c r="H27" s="20"/>
      <c r="I27" s="33">
        <v>273</v>
      </c>
      <c r="J27" s="31" t="s">
        <v>372</v>
      </c>
      <c r="K27" s="32" t="s">
        <v>0</v>
      </c>
      <c r="L27" s="33">
        <v>277</v>
      </c>
      <c r="M27" s="20">
        <v>2730</v>
      </c>
      <c r="N27" s="20">
        <f t="shared" si="2"/>
        <v>178450</v>
      </c>
    </row>
    <row r="28" spans="1:14" s="11" customFormat="1" ht="15.75" customHeight="1" x14ac:dyDescent="0.25">
      <c r="A28" s="10"/>
      <c r="B28" s="10"/>
      <c r="C28" s="31" t="s">
        <v>199</v>
      </c>
      <c r="D28" s="32" t="s">
        <v>1</v>
      </c>
      <c r="E28" s="33"/>
      <c r="F28" s="20">
        <v>7520</v>
      </c>
      <c r="G28" s="20">
        <f t="shared" si="1"/>
        <v>855800</v>
      </c>
      <c r="H28" s="20"/>
      <c r="I28" s="33">
        <v>274</v>
      </c>
      <c r="J28" s="31" t="s">
        <v>373</v>
      </c>
      <c r="K28" s="32" t="s">
        <v>0</v>
      </c>
      <c r="L28" s="33">
        <v>276</v>
      </c>
      <c r="M28" s="20">
        <v>2970</v>
      </c>
      <c r="N28" s="20">
        <f t="shared" si="2"/>
        <v>181180</v>
      </c>
    </row>
    <row r="29" spans="1:14" s="11" customFormat="1" ht="15.75" customHeight="1" x14ac:dyDescent="0.25">
      <c r="A29" s="10"/>
      <c r="B29" s="10"/>
      <c r="C29" s="31" t="s">
        <v>106</v>
      </c>
      <c r="D29" s="32" t="s">
        <v>1</v>
      </c>
      <c r="E29" s="33"/>
      <c r="F29" s="20">
        <v>3060</v>
      </c>
      <c r="G29" s="20">
        <f t="shared" si="1"/>
        <v>863320</v>
      </c>
      <c r="H29" s="20"/>
      <c r="I29" s="33">
        <v>275</v>
      </c>
      <c r="J29" s="31" t="s">
        <v>322</v>
      </c>
      <c r="K29" s="32" t="s">
        <v>0</v>
      </c>
      <c r="L29" s="33">
        <v>274</v>
      </c>
      <c r="M29" s="20">
        <v>4230</v>
      </c>
      <c r="N29" s="20">
        <f t="shared" si="2"/>
        <v>184150</v>
      </c>
    </row>
    <row r="30" spans="1:14" s="11" customFormat="1" ht="15.75" customHeight="1" x14ac:dyDescent="0.25">
      <c r="A30" s="10"/>
      <c r="B30" s="10"/>
      <c r="C30" s="31" t="s">
        <v>104</v>
      </c>
      <c r="D30" s="32" t="s">
        <v>1</v>
      </c>
      <c r="E30" s="33"/>
      <c r="F30" s="20">
        <v>430</v>
      </c>
      <c r="G30" s="20">
        <f t="shared" si="1"/>
        <v>866380</v>
      </c>
      <c r="H30" s="20"/>
      <c r="I30" s="33">
        <v>276</v>
      </c>
      <c r="J30" s="31" t="s">
        <v>280</v>
      </c>
      <c r="K30" s="32" t="s">
        <v>0</v>
      </c>
      <c r="L30" s="33">
        <v>272</v>
      </c>
      <c r="M30" s="20">
        <v>2550</v>
      </c>
      <c r="N30" s="20">
        <f t="shared" si="2"/>
        <v>188380</v>
      </c>
    </row>
    <row r="31" spans="1:14" s="11" customFormat="1" ht="15.75" customHeight="1" x14ac:dyDescent="0.25">
      <c r="A31" s="10"/>
      <c r="B31" s="10"/>
      <c r="C31" s="31" t="s">
        <v>276</v>
      </c>
      <c r="D31" s="32" t="s">
        <v>1</v>
      </c>
      <c r="E31" s="33"/>
      <c r="F31" s="20">
        <v>1700</v>
      </c>
      <c r="G31" s="20">
        <f t="shared" si="1"/>
        <v>866810</v>
      </c>
      <c r="H31" s="20"/>
      <c r="I31" s="33">
        <v>277</v>
      </c>
      <c r="J31" s="31" t="s">
        <v>374</v>
      </c>
      <c r="K31" s="32" t="s">
        <v>0</v>
      </c>
      <c r="L31" s="33">
        <v>271</v>
      </c>
      <c r="M31" s="20">
        <v>3640</v>
      </c>
      <c r="N31" s="20">
        <f t="shared" si="2"/>
        <v>190930</v>
      </c>
    </row>
    <row r="32" spans="1:14" s="11" customFormat="1" ht="15.75" customHeight="1" x14ac:dyDescent="0.25">
      <c r="A32" s="10"/>
      <c r="B32" s="10"/>
      <c r="C32" s="31" t="s">
        <v>290</v>
      </c>
      <c r="D32" s="32" t="s">
        <v>1</v>
      </c>
      <c r="E32" s="33"/>
      <c r="F32" s="20">
        <v>10000</v>
      </c>
      <c r="G32" s="20">
        <f t="shared" si="1"/>
        <v>868510</v>
      </c>
      <c r="H32" s="20"/>
      <c r="I32" s="33">
        <v>278</v>
      </c>
      <c r="J32" s="31" t="s">
        <v>375</v>
      </c>
      <c r="K32" s="32" t="s">
        <v>0</v>
      </c>
      <c r="L32" s="33">
        <v>265</v>
      </c>
      <c r="M32" s="20">
        <v>1820</v>
      </c>
      <c r="N32" s="20">
        <f t="shared" si="2"/>
        <v>194570</v>
      </c>
    </row>
    <row r="33" spans="1:14" s="11" customFormat="1" ht="15.75" customHeight="1" x14ac:dyDescent="0.25">
      <c r="A33" s="10"/>
      <c r="B33" s="10"/>
      <c r="C33" s="31" t="s">
        <v>279</v>
      </c>
      <c r="D33" s="32" t="s">
        <v>1</v>
      </c>
      <c r="E33" s="33"/>
      <c r="F33" s="20">
        <v>4970</v>
      </c>
      <c r="G33" s="20">
        <f t="shared" si="1"/>
        <v>878510</v>
      </c>
      <c r="H33" s="20"/>
      <c r="I33" s="33">
        <v>279</v>
      </c>
      <c r="J33" s="31" t="s">
        <v>274</v>
      </c>
      <c r="K33" s="32" t="s">
        <v>0</v>
      </c>
      <c r="L33" s="33">
        <v>264</v>
      </c>
      <c r="M33" s="20">
        <v>1230</v>
      </c>
      <c r="N33" s="20">
        <f t="shared" si="2"/>
        <v>196390</v>
      </c>
    </row>
    <row r="34" spans="1:14" s="11" customFormat="1" ht="15.75" customHeight="1" x14ac:dyDescent="0.25">
      <c r="A34" s="10"/>
      <c r="B34" s="10"/>
      <c r="C34" s="31" t="s">
        <v>361</v>
      </c>
      <c r="D34" s="32" t="s">
        <v>1</v>
      </c>
      <c r="E34" s="33"/>
      <c r="F34" s="20">
        <v>1000</v>
      </c>
      <c r="G34" s="20">
        <f t="shared" si="1"/>
        <v>883480</v>
      </c>
      <c r="H34" s="20"/>
      <c r="I34" s="33">
        <v>280</v>
      </c>
      <c r="J34" s="31" t="s">
        <v>83</v>
      </c>
      <c r="K34" s="32" t="s">
        <v>0</v>
      </c>
      <c r="L34" s="33">
        <v>256</v>
      </c>
      <c r="M34" s="20">
        <v>4270</v>
      </c>
      <c r="N34" s="20">
        <f t="shared" si="2"/>
        <v>197620</v>
      </c>
    </row>
    <row r="35" spans="1:14" s="11" customFormat="1" ht="15.75" customHeight="1" x14ac:dyDescent="0.25">
      <c r="A35" s="10"/>
      <c r="B35" s="10"/>
      <c r="C35" s="31" t="s">
        <v>328</v>
      </c>
      <c r="D35" s="32" t="s">
        <v>1</v>
      </c>
      <c r="E35" s="33"/>
      <c r="F35" s="20">
        <v>5360</v>
      </c>
      <c r="G35" s="20">
        <f t="shared" si="1"/>
        <v>884480</v>
      </c>
      <c r="H35" s="20"/>
      <c r="I35" s="33">
        <v>281</v>
      </c>
      <c r="J35" s="31" t="s">
        <v>376</v>
      </c>
      <c r="K35" s="32" t="s">
        <v>0</v>
      </c>
      <c r="L35" s="33">
        <v>255</v>
      </c>
      <c r="M35" s="20">
        <v>4010</v>
      </c>
      <c r="N35" s="20">
        <f t="shared" si="2"/>
        <v>201890</v>
      </c>
    </row>
    <row r="36" spans="1:14" s="11" customFormat="1" ht="15.75" customHeight="1" x14ac:dyDescent="0.25">
      <c r="A36" s="10"/>
      <c r="B36" s="10"/>
      <c r="C36" s="31" t="s">
        <v>82</v>
      </c>
      <c r="D36" s="32" t="s">
        <v>1</v>
      </c>
      <c r="E36" s="33"/>
      <c r="F36" s="20">
        <v>28530</v>
      </c>
      <c r="G36" s="20">
        <f t="shared" si="1"/>
        <v>889840</v>
      </c>
      <c r="H36" s="20"/>
      <c r="I36" s="33">
        <v>282</v>
      </c>
      <c r="J36" s="31" t="s">
        <v>377</v>
      </c>
      <c r="K36" s="32" t="s">
        <v>0</v>
      </c>
      <c r="L36" s="33">
        <v>254</v>
      </c>
      <c r="M36" s="20">
        <v>2320</v>
      </c>
      <c r="N36" s="20">
        <f t="shared" si="2"/>
        <v>205900</v>
      </c>
    </row>
    <row r="37" spans="1:14" s="11" customFormat="1" ht="15.75" customHeight="1" x14ac:dyDescent="0.25">
      <c r="A37" s="10"/>
      <c r="B37" s="10"/>
      <c r="C37" s="31"/>
      <c r="D37" s="34" t="s">
        <v>1</v>
      </c>
      <c r="E37" s="33"/>
      <c r="F37" s="20"/>
      <c r="G37" s="20">
        <f t="shared" si="1"/>
        <v>918370</v>
      </c>
      <c r="H37" s="20"/>
      <c r="I37" s="33">
        <v>283</v>
      </c>
      <c r="J37" s="31" t="s">
        <v>246</v>
      </c>
      <c r="K37" s="32" t="s">
        <v>0</v>
      </c>
      <c r="L37" s="33">
        <v>279</v>
      </c>
      <c r="M37" s="20">
        <v>720</v>
      </c>
      <c r="N37" s="20">
        <f t="shared" si="2"/>
        <v>208220</v>
      </c>
    </row>
    <row r="38" spans="1:14" s="11" customFormat="1" ht="15.75" customHeight="1" x14ac:dyDescent="0.25">
      <c r="A38" s="10"/>
      <c r="B38" s="10"/>
      <c r="C38" s="31"/>
      <c r="D38" s="34" t="s">
        <v>1</v>
      </c>
      <c r="E38" s="33"/>
      <c r="F38" s="20"/>
      <c r="G38" s="35">
        <f t="shared" si="1"/>
        <v>918370</v>
      </c>
      <c r="H38" s="20"/>
      <c r="I38" s="33">
        <v>284</v>
      </c>
      <c r="J38" s="31" t="s">
        <v>82</v>
      </c>
      <c r="K38" s="32" t="s">
        <v>0</v>
      </c>
      <c r="L38" s="33">
        <v>203</v>
      </c>
      <c r="M38" s="20">
        <v>28530</v>
      </c>
      <c r="N38" s="20">
        <f t="shared" si="2"/>
        <v>208940</v>
      </c>
    </row>
    <row r="39" spans="1:14" s="11" customFormat="1" ht="15.75" customHeight="1" x14ac:dyDescent="0.25">
      <c r="A39" s="10"/>
      <c r="B39" s="10"/>
      <c r="C39" s="20" t="s">
        <v>382</v>
      </c>
      <c r="D39" s="34" t="s">
        <v>1</v>
      </c>
      <c r="E39" s="33"/>
      <c r="F39" s="20"/>
      <c r="G39" s="35">
        <f t="shared" si="1"/>
        <v>918370</v>
      </c>
      <c r="H39" s="20"/>
      <c r="I39" s="20"/>
      <c r="J39" s="20"/>
      <c r="K39" s="32" t="s">
        <v>0</v>
      </c>
      <c r="L39" s="33"/>
      <c r="M39" s="20"/>
      <c r="N39" s="20">
        <f t="shared" si="2"/>
        <v>237470</v>
      </c>
    </row>
    <row r="40" spans="1:14" s="11" customFormat="1" ht="15.75" customHeight="1" x14ac:dyDescent="0.25">
      <c r="A40" s="10"/>
      <c r="B40" s="10"/>
      <c r="C40" s="20" t="s">
        <v>383</v>
      </c>
      <c r="D40" s="34"/>
      <c r="E40" s="33"/>
      <c r="F40" s="20"/>
      <c r="G40" s="35">
        <f t="shared" si="1"/>
        <v>918370</v>
      </c>
      <c r="H40" s="20"/>
      <c r="I40" s="20"/>
      <c r="J40" s="31" t="s">
        <v>379</v>
      </c>
      <c r="K40" s="32"/>
      <c r="L40" s="33"/>
      <c r="M40" s="20"/>
      <c r="N40" s="35">
        <f t="shared" si="2"/>
        <v>237470</v>
      </c>
    </row>
    <row r="41" spans="1:14" s="11" customFormat="1" ht="15.75" customHeight="1" x14ac:dyDescent="0.25">
      <c r="A41" s="10"/>
      <c r="B41" s="10"/>
      <c r="C41" s="31"/>
      <c r="D41" s="34"/>
      <c r="E41" s="33"/>
      <c r="F41" s="20"/>
      <c r="G41" s="35">
        <f t="shared" si="1"/>
        <v>918370</v>
      </c>
      <c r="H41" s="20"/>
      <c r="I41" s="20"/>
      <c r="J41" s="36" t="s">
        <v>380</v>
      </c>
      <c r="K41" s="32"/>
      <c r="L41" s="33"/>
      <c r="M41" s="20"/>
      <c r="N41" s="35">
        <f t="shared" si="2"/>
        <v>237470</v>
      </c>
    </row>
    <row r="42" spans="1:14" s="11" customFormat="1" ht="15.75" customHeight="1" x14ac:dyDescent="0.25">
      <c r="A42" s="10"/>
      <c r="B42" s="10"/>
      <c r="C42" s="31"/>
      <c r="D42" s="34" t="s">
        <v>1</v>
      </c>
      <c r="E42" s="20"/>
      <c r="F42" s="20"/>
      <c r="G42" s="35">
        <f t="shared" si="1"/>
        <v>918370</v>
      </c>
      <c r="H42" s="20"/>
      <c r="I42" s="20"/>
      <c r="J42" s="31" t="s">
        <v>381</v>
      </c>
      <c r="K42" s="32"/>
      <c r="L42" s="20"/>
      <c r="M42" s="20"/>
      <c r="N42" s="35">
        <f t="shared" si="2"/>
        <v>237470</v>
      </c>
    </row>
    <row r="43" spans="1:14" ht="24" customHeight="1" x14ac:dyDescent="0.25">
      <c r="A43" s="46" t="s">
        <v>9</v>
      </c>
      <c r="B43" s="46"/>
      <c r="C43" s="47"/>
      <c r="D43" s="54">
        <f>G42+F42</f>
        <v>918370</v>
      </c>
      <c r="E43" s="54"/>
      <c r="F43" s="54"/>
      <c r="G43" s="54"/>
      <c r="H43" s="48" t="s">
        <v>10</v>
      </c>
      <c r="I43" s="48"/>
      <c r="J43" s="49"/>
      <c r="K43" s="54">
        <f>N42+M42</f>
        <v>237470</v>
      </c>
      <c r="L43" s="54"/>
      <c r="M43" s="54"/>
      <c r="N43" s="54"/>
    </row>
    <row r="44" spans="1:14" ht="20.25" customHeight="1" x14ac:dyDescent="0.25">
      <c r="A44" s="48" t="s">
        <v>10</v>
      </c>
      <c r="B44" s="48"/>
      <c r="C44" s="49"/>
      <c r="D44" s="55">
        <f>K43</f>
        <v>237470</v>
      </c>
      <c r="E44" s="55"/>
      <c r="F44" s="55"/>
      <c r="G44" s="55"/>
      <c r="H44" s="59"/>
      <c r="I44" s="59"/>
      <c r="J44" s="13"/>
      <c r="K44" s="61"/>
      <c r="L44" s="61"/>
      <c r="M44" s="61"/>
      <c r="N44" s="14"/>
    </row>
    <row r="45" spans="1:14" ht="26.25" customHeight="1" x14ac:dyDescent="0.25">
      <c r="A45" s="50" t="s">
        <v>11</v>
      </c>
      <c r="B45" s="50"/>
      <c r="C45" s="51"/>
      <c r="D45" s="63">
        <f>D43-D44</f>
        <v>680900</v>
      </c>
      <c r="E45" s="63"/>
      <c r="F45" s="63"/>
      <c r="G45" s="63"/>
      <c r="H45" s="59"/>
      <c r="I45" s="59"/>
      <c r="J45" s="13"/>
      <c r="K45" s="60"/>
      <c r="L45" s="60"/>
      <c r="M45" s="60"/>
      <c r="N45" s="15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</sheetData>
  <mergeCells count="21">
    <mergeCell ref="A45:C45"/>
    <mergeCell ref="D45:G45"/>
    <mergeCell ref="H45:I45"/>
    <mergeCell ref="K45:M45"/>
    <mergeCell ref="A4:E4"/>
    <mergeCell ref="A43:C43"/>
    <mergeCell ref="D43:G43"/>
    <mergeCell ref="H43:J43"/>
    <mergeCell ref="K43:N43"/>
    <mergeCell ref="A44:C44"/>
    <mergeCell ref="D44:G44"/>
    <mergeCell ref="H44:I44"/>
    <mergeCell ref="K44:M44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N53"/>
  <sheetViews>
    <sheetView view="pageBreakPreview" topLeftCell="A19" zoomScale="115" zoomScaleNormal="145" zoomScaleSheetLayoutView="115" zoomScalePageLayoutView="85" workbookViewId="0">
      <selection activeCell="C37" sqref="C37:C3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262</v>
      </c>
      <c r="D3" s="58" t="s">
        <v>4</v>
      </c>
      <c r="E3" s="58"/>
      <c r="F3" s="17" t="s">
        <v>3</v>
      </c>
      <c r="G3" s="3">
        <v>45582</v>
      </c>
      <c r="H3" s="57" t="s">
        <v>8</v>
      </c>
      <c r="I3" s="57"/>
      <c r="J3" s="18" t="s">
        <v>262</v>
      </c>
      <c r="K3" s="62" t="s">
        <v>5</v>
      </c>
      <c r="L3" s="62"/>
      <c r="M3" s="17" t="s">
        <v>3</v>
      </c>
      <c r="N3" s="3">
        <v>45582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(16)'!D45</f>
        <v>680900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330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12390</v>
      </c>
      <c r="G5" s="10">
        <f>F4</f>
        <v>680900</v>
      </c>
      <c r="H5" s="8"/>
      <c r="I5" s="8"/>
      <c r="J5" s="31" t="s">
        <v>54</v>
      </c>
      <c r="K5" s="9" t="s">
        <v>0</v>
      </c>
      <c r="L5" s="8"/>
      <c r="M5" s="10">
        <v>1250</v>
      </c>
      <c r="N5" s="10">
        <f>M4</f>
        <v>330</v>
      </c>
    </row>
    <row r="6" spans="1:14" s="11" customFormat="1" ht="21" customHeight="1" x14ac:dyDescent="0.25">
      <c r="A6" s="8"/>
      <c r="B6" s="8"/>
      <c r="C6" s="31" t="s">
        <v>78</v>
      </c>
      <c r="D6" s="9" t="s">
        <v>1</v>
      </c>
      <c r="E6" s="8"/>
      <c r="F6" s="10">
        <v>130</v>
      </c>
      <c r="G6" s="10">
        <f>G5+F5</f>
        <v>693290</v>
      </c>
      <c r="H6" s="8"/>
      <c r="I6" s="8"/>
      <c r="J6" s="31" t="s">
        <v>100</v>
      </c>
      <c r="K6" s="9" t="s">
        <v>0</v>
      </c>
      <c r="L6" s="8"/>
      <c r="M6" s="10">
        <v>300</v>
      </c>
      <c r="N6" s="10">
        <f t="shared" ref="N6" si="0">N5+M5</f>
        <v>1580</v>
      </c>
    </row>
    <row r="7" spans="1:14" s="11" customFormat="1" ht="21" customHeight="1" x14ac:dyDescent="0.25">
      <c r="A7" s="8"/>
      <c r="B7" s="8"/>
      <c r="C7" s="31" t="s">
        <v>79</v>
      </c>
      <c r="D7" s="9" t="s">
        <v>1</v>
      </c>
      <c r="E7" s="8"/>
      <c r="F7" s="10">
        <v>130</v>
      </c>
      <c r="G7" s="10">
        <f t="shared" ref="G7:G41" si="1">G6+F6</f>
        <v>693420</v>
      </c>
      <c r="H7" s="8"/>
      <c r="I7" s="8"/>
      <c r="J7" s="6" t="s">
        <v>394</v>
      </c>
      <c r="K7" s="9" t="s">
        <v>0</v>
      </c>
      <c r="L7" s="8"/>
      <c r="M7" s="10">
        <v>2000</v>
      </c>
      <c r="N7" s="10">
        <f>N6+M6</f>
        <v>1880</v>
      </c>
    </row>
    <row r="8" spans="1:14" s="11" customFormat="1" ht="21" customHeight="1" x14ac:dyDescent="0.25">
      <c r="A8" s="8"/>
      <c r="B8" s="8"/>
      <c r="C8" s="6" t="s">
        <v>174</v>
      </c>
      <c r="D8" s="9" t="s">
        <v>1</v>
      </c>
      <c r="E8" s="8"/>
      <c r="F8" s="10">
        <v>6680</v>
      </c>
      <c r="G8" s="10">
        <f t="shared" si="1"/>
        <v>693550</v>
      </c>
      <c r="H8" s="8"/>
      <c r="I8" s="8">
        <v>285</v>
      </c>
      <c r="J8" s="6" t="s">
        <v>174</v>
      </c>
      <c r="K8" s="9" t="s">
        <v>0</v>
      </c>
      <c r="L8" s="8">
        <v>298</v>
      </c>
      <c r="M8" s="10">
        <v>2650</v>
      </c>
      <c r="N8" s="10">
        <f t="shared" ref="N8:N41" si="2">N7+M7</f>
        <v>3880</v>
      </c>
    </row>
    <row r="9" spans="1:14" s="11" customFormat="1" ht="21" customHeight="1" x14ac:dyDescent="0.25">
      <c r="A9" s="8"/>
      <c r="B9" s="8"/>
      <c r="C9" s="6" t="s">
        <v>173</v>
      </c>
      <c r="D9" s="9" t="s">
        <v>1</v>
      </c>
      <c r="E9" s="8"/>
      <c r="F9" s="10">
        <v>10420</v>
      </c>
      <c r="G9" s="10">
        <f t="shared" si="1"/>
        <v>700230</v>
      </c>
      <c r="H9" s="8"/>
      <c r="I9" s="8">
        <v>286</v>
      </c>
      <c r="J9" s="6" t="s">
        <v>173</v>
      </c>
      <c r="K9" s="9" t="s">
        <v>0</v>
      </c>
      <c r="L9" s="8">
        <v>283</v>
      </c>
      <c r="M9" s="10">
        <v>29990</v>
      </c>
      <c r="N9" s="10">
        <f t="shared" si="2"/>
        <v>6530</v>
      </c>
    </row>
    <row r="10" spans="1:14" s="11" customFormat="1" ht="21" customHeight="1" x14ac:dyDescent="0.25">
      <c r="A10" s="8"/>
      <c r="B10" s="8"/>
      <c r="C10" s="6" t="s">
        <v>175</v>
      </c>
      <c r="D10" s="9" t="s">
        <v>1</v>
      </c>
      <c r="E10" s="8"/>
      <c r="F10" s="10">
        <v>14050</v>
      </c>
      <c r="G10" s="10">
        <f t="shared" si="1"/>
        <v>710650</v>
      </c>
      <c r="H10" s="8"/>
      <c r="I10" s="8">
        <v>287</v>
      </c>
      <c r="J10" s="6" t="s">
        <v>175</v>
      </c>
      <c r="K10" s="9" t="s">
        <v>0</v>
      </c>
      <c r="L10" s="8">
        <v>284</v>
      </c>
      <c r="M10" s="10">
        <v>29610</v>
      </c>
      <c r="N10" s="10">
        <f t="shared" si="2"/>
        <v>36520</v>
      </c>
    </row>
    <row r="11" spans="1:14" s="11" customFormat="1" ht="21" customHeight="1" x14ac:dyDescent="0.25">
      <c r="A11" s="8"/>
      <c r="B11" s="8"/>
      <c r="C11" s="6" t="s">
        <v>43</v>
      </c>
      <c r="D11" s="9" t="s">
        <v>1</v>
      </c>
      <c r="E11" s="8"/>
      <c r="F11" s="10">
        <v>50000</v>
      </c>
      <c r="G11" s="10">
        <f t="shared" si="1"/>
        <v>724700</v>
      </c>
      <c r="H11" s="8"/>
      <c r="I11" s="8">
        <v>288</v>
      </c>
      <c r="J11" s="6" t="s">
        <v>43</v>
      </c>
      <c r="K11" s="9" t="s">
        <v>0</v>
      </c>
      <c r="L11" s="8">
        <v>310</v>
      </c>
      <c r="M11" s="10">
        <v>15210</v>
      </c>
      <c r="N11" s="10">
        <f t="shared" si="2"/>
        <v>66130</v>
      </c>
    </row>
    <row r="12" spans="1:14" s="11" customFormat="1" ht="21" customHeight="1" x14ac:dyDescent="0.25">
      <c r="A12" s="8"/>
      <c r="B12" s="8"/>
      <c r="C12" s="6" t="s">
        <v>49</v>
      </c>
      <c r="D12" s="9" t="s">
        <v>1</v>
      </c>
      <c r="E12" s="8"/>
      <c r="F12" s="10">
        <v>24000</v>
      </c>
      <c r="G12" s="10">
        <f t="shared" si="1"/>
        <v>774700</v>
      </c>
      <c r="H12" s="8"/>
      <c r="I12" s="8">
        <v>289</v>
      </c>
      <c r="J12" s="6" t="s">
        <v>384</v>
      </c>
      <c r="K12" s="9" t="s">
        <v>0</v>
      </c>
      <c r="L12" s="8">
        <v>293</v>
      </c>
      <c r="M12" s="10">
        <v>30540</v>
      </c>
      <c r="N12" s="10">
        <f t="shared" si="2"/>
        <v>81340</v>
      </c>
    </row>
    <row r="13" spans="1:14" s="11" customFormat="1" ht="21" customHeight="1" x14ac:dyDescent="0.25">
      <c r="A13" s="8"/>
      <c r="B13" s="8"/>
      <c r="C13" s="6" t="s">
        <v>46</v>
      </c>
      <c r="D13" s="9" t="s">
        <v>1</v>
      </c>
      <c r="E13" s="8"/>
      <c r="F13" s="10">
        <v>50000</v>
      </c>
      <c r="G13" s="10">
        <f t="shared" si="1"/>
        <v>798700</v>
      </c>
      <c r="H13" s="8"/>
      <c r="I13" s="8">
        <v>290</v>
      </c>
      <c r="J13" s="6" t="s">
        <v>49</v>
      </c>
      <c r="K13" s="9" t="s">
        <v>0</v>
      </c>
      <c r="L13" s="8">
        <v>295</v>
      </c>
      <c r="M13" s="10">
        <v>26270</v>
      </c>
      <c r="N13" s="10">
        <f t="shared" si="2"/>
        <v>111880</v>
      </c>
    </row>
    <row r="14" spans="1:14" s="11" customFormat="1" ht="21" customHeight="1" x14ac:dyDescent="0.25">
      <c r="A14" s="8"/>
      <c r="B14" s="8"/>
      <c r="C14" s="6" t="s">
        <v>245</v>
      </c>
      <c r="D14" s="9" t="s">
        <v>1</v>
      </c>
      <c r="E14" s="8"/>
      <c r="F14" s="10">
        <v>25000</v>
      </c>
      <c r="G14" s="10">
        <f t="shared" si="1"/>
        <v>848700</v>
      </c>
      <c r="H14" s="8"/>
      <c r="I14" s="8">
        <v>291</v>
      </c>
      <c r="J14" s="6" t="s">
        <v>48</v>
      </c>
      <c r="K14" s="9" t="s">
        <v>0</v>
      </c>
      <c r="L14" s="8">
        <v>281</v>
      </c>
      <c r="M14" s="10">
        <v>5500</v>
      </c>
      <c r="N14" s="10">
        <f t="shared" si="2"/>
        <v>138150</v>
      </c>
    </row>
    <row r="15" spans="1:14" s="11" customFormat="1" ht="21" customHeight="1" x14ac:dyDescent="0.25">
      <c r="A15" s="10"/>
      <c r="B15" s="10"/>
      <c r="C15" s="6" t="s">
        <v>349</v>
      </c>
      <c r="D15" s="9" t="s">
        <v>1</v>
      </c>
      <c r="E15" s="8"/>
      <c r="F15" s="10">
        <v>8270</v>
      </c>
      <c r="G15" s="10">
        <f t="shared" si="1"/>
        <v>873700</v>
      </c>
      <c r="H15" s="10"/>
      <c r="I15" s="8">
        <v>292</v>
      </c>
      <c r="J15" s="6" t="s">
        <v>320</v>
      </c>
      <c r="K15" s="9" t="s">
        <v>0</v>
      </c>
      <c r="L15" s="8">
        <v>305</v>
      </c>
      <c r="M15" s="10">
        <v>22870</v>
      </c>
      <c r="N15" s="10">
        <f t="shared" si="2"/>
        <v>143650</v>
      </c>
    </row>
    <row r="16" spans="1:14" s="11" customFormat="1" ht="21" customHeight="1" x14ac:dyDescent="0.25">
      <c r="A16" s="10"/>
      <c r="B16" s="10"/>
      <c r="C16" s="6" t="s">
        <v>360</v>
      </c>
      <c r="D16" s="9" t="s">
        <v>1</v>
      </c>
      <c r="E16" s="8"/>
      <c r="F16" s="10">
        <v>14280</v>
      </c>
      <c r="G16" s="10">
        <f t="shared" si="1"/>
        <v>881970</v>
      </c>
      <c r="H16" s="10"/>
      <c r="I16" s="8">
        <v>293</v>
      </c>
      <c r="J16" s="6" t="s">
        <v>245</v>
      </c>
      <c r="K16" s="9" t="s">
        <v>0</v>
      </c>
      <c r="L16" s="8">
        <v>282</v>
      </c>
      <c r="M16" s="10">
        <v>40090</v>
      </c>
      <c r="N16" s="10">
        <f t="shared" si="2"/>
        <v>166520</v>
      </c>
    </row>
    <row r="17" spans="1:14" s="11" customFormat="1" ht="21" customHeight="1" x14ac:dyDescent="0.25">
      <c r="A17" s="10"/>
      <c r="B17" s="10"/>
      <c r="C17" s="6" t="s">
        <v>85</v>
      </c>
      <c r="D17" s="9" t="s">
        <v>1</v>
      </c>
      <c r="E17" s="8"/>
      <c r="F17" s="10">
        <v>55250</v>
      </c>
      <c r="G17" s="10">
        <f t="shared" si="1"/>
        <v>896250</v>
      </c>
      <c r="H17" s="10"/>
      <c r="I17" s="8">
        <v>294</v>
      </c>
      <c r="J17" s="6" t="s">
        <v>294</v>
      </c>
      <c r="K17" s="9" t="s">
        <v>0</v>
      </c>
      <c r="L17" s="8">
        <v>301</v>
      </c>
      <c r="M17" s="10">
        <v>2700</v>
      </c>
      <c r="N17" s="10">
        <f t="shared" si="2"/>
        <v>206610</v>
      </c>
    </row>
    <row r="18" spans="1:14" s="11" customFormat="1" ht="21" customHeight="1" x14ac:dyDescent="0.25">
      <c r="A18" s="10"/>
      <c r="B18" s="10"/>
      <c r="C18" s="6" t="s">
        <v>51</v>
      </c>
      <c r="D18" s="9" t="s">
        <v>1</v>
      </c>
      <c r="E18" s="8"/>
      <c r="F18" s="10">
        <v>1340</v>
      </c>
      <c r="G18" s="10">
        <f t="shared" si="1"/>
        <v>951500</v>
      </c>
      <c r="H18" s="10"/>
      <c r="I18" s="8">
        <v>295</v>
      </c>
      <c r="J18" s="6" t="s">
        <v>85</v>
      </c>
      <c r="K18" s="9" t="s">
        <v>0</v>
      </c>
      <c r="L18" s="8">
        <v>296</v>
      </c>
      <c r="M18" s="10">
        <v>18900</v>
      </c>
      <c r="N18" s="10">
        <f t="shared" si="2"/>
        <v>209310</v>
      </c>
    </row>
    <row r="19" spans="1:14" s="11" customFormat="1" ht="21" customHeight="1" x14ac:dyDescent="0.25">
      <c r="A19" s="10"/>
      <c r="B19" s="10"/>
      <c r="C19" s="6" t="s">
        <v>371</v>
      </c>
      <c r="D19" s="9" t="s">
        <v>1</v>
      </c>
      <c r="E19" s="8"/>
      <c r="F19" s="10">
        <v>430</v>
      </c>
      <c r="G19" s="10">
        <f t="shared" si="1"/>
        <v>952840</v>
      </c>
      <c r="H19" s="10"/>
      <c r="I19" s="8">
        <v>296</v>
      </c>
      <c r="J19" s="6" t="s">
        <v>258</v>
      </c>
      <c r="K19" s="9" t="s">
        <v>0</v>
      </c>
      <c r="L19" s="8">
        <v>297</v>
      </c>
      <c r="M19" s="10">
        <v>1470</v>
      </c>
      <c r="N19" s="10">
        <f t="shared" si="2"/>
        <v>228210</v>
      </c>
    </row>
    <row r="20" spans="1:14" s="11" customFormat="1" ht="21" customHeight="1" x14ac:dyDescent="0.25">
      <c r="A20" s="10"/>
      <c r="B20" s="10"/>
      <c r="C20" s="6" t="s">
        <v>391</v>
      </c>
      <c r="D20" s="9" t="s">
        <v>1</v>
      </c>
      <c r="E20" s="8"/>
      <c r="F20" s="10">
        <v>1390</v>
      </c>
      <c r="G20" s="10">
        <f t="shared" si="1"/>
        <v>953270</v>
      </c>
      <c r="H20" s="10"/>
      <c r="I20" s="8">
        <v>297</v>
      </c>
      <c r="J20" s="6" t="s">
        <v>107</v>
      </c>
      <c r="K20" s="9" t="s">
        <v>0</v>
      </c>
      <c r="L20" s="8">
        <v>299</v>
      </c>
      <c r="M20" s="10">
        <v>4000</v>
      </c>
      <c r="N20" s="10">
        <f t="shared" si="2"/>
        <v>229680</v>
      </c>
    </row>
    <row r="21" spans="1:14" s="11" customFormat="1" ht="21" customHeight="1" x14ac:dyDescent="0.25">
      <c r="A21" s="10"/>
      <c r="B21" s="10"/>
      <c r="C21" s="6" t="s">
        <v>372</v>
      </c>
      <c r="D21" s="9" t="s">
        <v>1</v>
      </c>
      <c r="E21" s="8"/>
      <c r="F21" s="10">
        <v>2730</v>
      </c>
      <c r="G21" s="10">
        <f t="shared" si="1"/>
        <v>954660</v>
      </c>
      <c r="H21" s="10"/>
      <c r="I21" s="8">
        <v>298</v>
      </c>
      <c r="J21" s="6" t="s">
        <v>385</v>
      </c>
      <c r="K21" s="9" t="s">
        <v>0</v>
      </c>
      <c r="L21" s="8">
        <v>286</v>
      </c>
      <c r="M21" s="10">
        <v>2480</v>
      </c>
      <c r="N21" s="10">
        <f t="shared" si="2"/>
        <v>233680</v>
      </c>
    </row>
    <row r="22" spans="1:14" s="11" customFormat="1" ht="21" customHeight="1" x14ac:dyDescent="0.25">
      <c r="A22" s="10"/>
      <c r="B22" s="10"/>
      <c r="C22" s="6" t="s">
        <v>347</v>
      </c>
      <c r="D22" s="9" t="s">
        <v>1</v>
      </c>
      <c r="E22" s="8"/>
      <c r="F22" s="10">
        <v>1880</v>
      </c>
      <c r="G22" s="10">
        <f t="shared" si="1"/>
        <v>957390</v>
      </c>
      <c r="H22" s="10"/>
      <c r="I22" s="8">
        <v>299</v>
      </c>
      <c r="J22" s="6" t="s">
        <v>370</v>
      </c>
      <c r="K22" s="9" t="s">
        <v>0</v>
      </c>
      <c r="L22" s="8">
        <v>289</v>
      </c>
      <c r="M22" s="10">
        <v>2820</v>
      </c>
      <c r="N22" s="10">
        <f t="shared" si="2"/>
        <v>236160</v>
      </c>
    </row>
    <row r="23" spans="1:14" s="11" customFormat="1" ht="21" customHeight="1" x14ac:dyDescent="0.25">
      <c r="A23" s="10"/>
      <c r="B23" s="10"/>
      <c r="C23" s="6" t="s">
        <v>294</v>
      </c>
      <c r="D23" s="9" t="s">
        <v>1</v>
      </c>
      <c r="E23" s="8"/>
      <c r="F23" s="10">
        <v>5000</v>
      </c>
      <c r="G23" s="10">
        <f t="shared" si="1"/>
        <v>959270</v>
      </c>
      <c r="H23" s="10"/>
      <c r="I23" s="8">
        <v>300</v>
      </c>
      <c r="J23" s="6" t="s">
        <v>19</v>
      </c>
      <c r="K23" s="9" t="s">
        <v>0</v>
      </c>
      <c r="L23" s="8">
        <v>294</v>
      </c>
      <c r="M23" s="10">
        <v>7280</v>
      </c>
      <c r="N23" s="10">
        <f t="shared" si="2"/>
        <v>238980</v>
      </c>
    </row>
    <row r="24" spans="1:14" s="11" customFormat="1" ht="21" customHeight="1" x14ac:dyDescent="0.25">
      <c r="A24" s="10"/>
      <c r="B24" s="10"/>
      <c r="C24" s="6" t="s">
        <v>280</v>
      </c>
      <c r="D24" s="9" t="s">
        <v>1</v>
      </c>
      <c r="E24" s="8"/>
      <c r="F24" s="10">
        <v>2550</v>
      </c>
      <c r="G24" s="10">
        <f t="shared" si="1"/>
        <v>964270</v>
      </c>
      <c r="H24" s="10"/>
      <c r="I24" s="8">
        <v>301</v>
      </c>
      <c r="J24" s="6" t="s">
        <v>386</v>
      </c>
      <c r="K24" s="9" t="s">
        <v>0</v>
      </c>
      <c r="L24" s="8">
        <v>303</v>
      </c>
      <c r="M24" s="10">
        <v>3600</v>
      </c>
      <c r="N24" s="10">
        <f t="shared" si="2"/>
        <v>246260</v>
      </c>
    </row>
    <row r="25" spans="1:14" s="11" customFormat="1" ht="21" customHeight="1" x14ac:dyDescent="0.25">
      <c r="A25" s="10"/>
      <c r="B25" s="10"/>
      <c r="C25" s="6" t="s">
        <v>374</v>
      </c>
      <c r="D25" s="9" t="s">
        <v>1</v>
      </c>
      <c r="E25" s="8"/>
      <c r="F25" s="10">
        <v>3640</v>
      </c>
      <c r="G25" s="10">
        <f t="shared" si="1"/>
        <v>966820</v>
      </c>
      <c r="H25" s="10"/>
      <c r="I25" s="8">
        <v>302</v>
      </c>
      <c r="J25" s="6" t="s">
        <v>387</v>
      </c>
      <c r="K25" s="9" t="s">
        <v>0</v>
      </c>
      <c r="L25" s="8">
        <v>288</v>
      </c>
      <c r="M25" s="10">
        <v>2890</v>
      </c>
      <c r="N25" s="10">
        <f t="shared" si="2"/>
        <v>249860</v>
      </c>
    </row>
    <row r="26" spans="1:14" s="11" customFormat="1" ht="21" customHeight="1" x14ac:dyDescent="0.25">
      <c r="A26" s="10"/>
      <c r="B26" s="10"/>
      <c r="C26" s="6" t="s">
        <v>19</v>
      </c>
      <c r="D26" s="9" t="s">
        <v>1</v>
      </c>
      <c r="E26" s="8"/>
      <c r="F26" s="10">
        <v>2700</v>
      </c>
      <c r="G26" s="10">
        <f t="shared" si="1"/>
        <v>970460</v>
      </c>
      <c r="H26" s="10"/>
      <c r="I26" s="8">
        <v>303</v>
      </c>
      <c r="J26" s="6" t="s">
        <v>388</v>
      </c>
      <c r="K26" s="9" t="s">
        <v>0</v>
      </c>
      <c r="L26" s="8">
        <v>304</v>
      </c>
      <c r="M26" s="10">
        <v>2770</v>
      </c>
      <c r="N26" s="10">
        <f t="shared" si="2"/>
        <v>252750</v>
      </c>
    </row>
    <row r="27" spans="1:14" s="11" customFormat="1" ht="21" customHeight="1" x14ac:dyDescent="0.25">
      <c r="A27" s="10"/>
      <c r="B27" s="10"/>
      <c r="C27" s="6" t="s">
        <v>281</v>
      </c>
      <c r="D27" s="9" t="s">
        <v>1</v>
      </c>
      <c r="E27" s="8"/>
      <c r="F27" s="10">
        <v>8060</v>
      </c>
      <c r="G27" s="10">
        <f t="shared" si="1"/>
        <v>973160</v>
      </c>
      <c r="H27" s="10"/>
      <c r="I27" s="8">
        <v>304</v>
      </c>
      <c r="J27" s="6" t="s">
        <v>169</v>
      </c>
      <c r="K27" s="9" t="s">
        <v>0</v>
      </c>
      <c r="L27" s="8">
        <v>302</v>
      </c>
      <c r="M27" s="10">
        <v>3250</v>
      </c>
      <c r="N27" s="10">
        <f t="shared" si="2"/>
        <v>255520</v>
      </c>
    </row>
    <row r="28" spans="1:14" s="11" customFormat="1" ht="21" customHeight="1" x14ac:dyDescent="0.25">
      <c r="A28" s="10"/>
      <c r="B28" s="10"/>
      <c r="C28" s="6" t="s">
        <v>375</v>
      </c>
      <c r="D28" s="9" t="s">
        <v>1</v>
      </c>
      <c r="E28" s="8"/>
      <c r="F28" s="10">
        <v>1820</v>
      </c>
      <c r="G28" s="10">
        <f t="shared" si="1"/>
        <v>981220</v>
      </c>
      <c r="H28" s="10"/>
      <c r="I28" s="8">
        <v>305</v>
      </c>
      <c r="J28" s="6" t="s">
        <v>83</v>
      </c>
      <c r="K28" s="9" t="s">
        <v>0</v>
      </c>
      <c r="L28" s="8">
        <v>287</v>
      </c>
      <c r="M28" s="10">
        <v>2250</v>
      </c>
      <c r="N28" s="10">
        <f t="shared" si="2"/>
        <v>258770</v>
      </c>
    </row>
    <row r="29" spans="1:14" s="11" customFormat="1" ht="21" customHeight="1" x14ac:dyDescent="0.25">
      <c r="A29" s="10"/>
      <c r="B29" s="10"/>
      <c r="C29" s="6" t="s">
        <v>83</v>
      </c>
      <c r="D29" s="9" t="s">
        <v>1</v>
      </c>
      <c r="E29" s="8"/>
      <c r="F29" s="10">
        <v>4270</v>
      </c>
      <c r="G29" s="10">
        <f t="shared" si="1"/>
        <v>983040</v>
      </c>
      <c r="H29" s="10"/>
      <c r="I29" s="8">
        <v>306</v>
      </c>
      <c r="J29" s="6" t="s">
        <v>325</v>
      </c>
      <c r="K29" s="9" t="s">
        <v>0</v>
      </c>
      <c r="L29" s="8">
        <v>307</v>
      </c>
      <c r="M29" s="10">
        <v>3630</v>
      </c>
      <c r="N29" s="10">
        <f t="shared" si="2"/>
        <v>261020</v>
      </c>
    </row>
    <row r="30" spans="1:14" s="11" customFormat="1" ht="21" customHeight="1" x14ac:dyDescent="0.25">
      <c r="A30" s="10"/>
      <c r="B30" s="10"/>
      <c r="C30" s="6" t="s">
        <v>376</v>
      </c>
      <c r="D30" s="9" t="s">
        <v>1</v>
      </c>
      <c r="E30" s="8"/>
      <c r="F30" s="10">
        <v>4010</v>
      </c>
      <c r="G30" s="10">
        <f t="shared" si="1"/>
        <v>987310</v>
      </c>
      <c r="H30" s="10"/>
      <c r="I30" s="8">
        <v>307</v>
      </c>
      <c r="J30" s="6" t="s">
        <v>389</v>
      </c>
      <c r="K30" s="9" t="s">
        <v>0</v>
      </c>
      <c r="L30" s="8">
        <v>306</v>
      </c>
      <c r="M30" s="10">
        <v>2850</v>
      </c>
      <c r="N30" s="10">
        <f t="shared" si="2"/>
        <v>264650</v>
      </c>
    </row>
    <row r="31" spans="1:14" s="11" customFormat="1" ht="21" customHeight="1" x14ac:dyDescent="0.25">
      <c r="A31" s="10"/>
      <c r="B31" s="10"/>
      <c r="C31" s="6" t="s">
        <v>377</v>
      </c>
      <c r="D31" s="9" t="s">
        <v>1</v>
      </c>
      <c r="E31" s="8"/>
      <c r="F31" s="10">
        <v>2320</v>
      </c>
      <c r="G31" s="10">
        <f t="shared" si="1"/>
        <v>991320</v>
      </c>
      <c r="H31" s="10"/>
      <c r="I31" s="8">
        <v>308</v>
      </c>
      <c r="J31" s="6" t="s">
        <v>390</v>
      </c>
      <c r="K31" s="9" t="s">
        <v>0</v>
      </c>
      <c r="L31" s="8">
        <v>290</v>
      </c>
      <c r="M31" s="10">
        <v>11800</v>
      </c>
      <c r="N31" s="10">
        <f t="shared" si="2"/>
        <v>267500</v>
      </c>
    </row>
    <row r="32" spans="1:14" s="11" customFormat="1" ht="21" customHeight="1" x14ac:dyDescent="0.25">
      <c r="A32" s="10"/>
      <c r="B32" s="10"/>
      <c r="C32" s="6" t="s">
        <v>111</v>
      </c>
      <c r="D32" s="9" t="s">
        <v>1</v>
      </c>
      <c r="E32" s="8"/>
      <c r="F32" s="10">
        <v>8780</v>
      </c>
      <c r="G32" s="10">
        <f t="shared" si="1"/>
        <v>993640</v>
      </c>
      <c r="H32" s="10"/>
      <c r="I32" s="8">
        <v>309</v>
      </c>
      <c r="J32" s="6" t="s">
        <v>51</v>
      </c>
      <c r="K32" s="9" t="s">
        <v>0</v>
      </c>
      <c r="L32" s="8">
        <v>292</v>
      </c>
      <c r="M32" s="10">
        <v>1310</v>
      </c>
      <c r="N32" s="10">
        <f t="shared" si="2"/>
        <v>279300</v>
      </c>
    </row>
    <row r="33" spans="1:14" s="11" customFormat="1" ht="21" customHeight="1" x14ac:dyDescent="0.25">
      <c r="A33" s="10"/>
      <c r="B33" s="10"/>
      <c r="C33" s="6" t="s">
        <v>392</v>
      </c>
      <c r="D33" s="9" t="s">
        <v>1</v>
      </c>
      <c r="E33" s="8"/>
      <c r="F33" s="10">
        <v>5750</v>
      </c>
      <c r="G33" s="10">
        <f t="shared" si="1"/>
        <v>1002420</v>
      </c>
      <c r="H33" s="10"/>
      <c r="I33" s="8">
        <v>310</v>
      </c>
      <c r="J33" s="6" t="s">
        <v>111</v>
      </c>
      <c r="K33" s="9" t="s">
        <v>0</v>
      </c>
      <c r="L33" s="8">
        <v>291</v>
      </c>
      <c r="M33" s="10">
        <v>4210</v>
      </c>
      <c r="N33" s="10">
        <f t="shared" si="2"/>
        <v>280610</v>
      </c>
    </row>
    <row r="34" spans="1:14" s="11" customFormat="1" ht="21" customHeight="1" x14ac:dyDescent="0.25">
      <c r="A34" s="10"/>
      <c r="B34" s="10"/>
      <c r="C34" s="6" t="s">
        <v>82</v>
      </c>
      <c r="D34" s="9" t="s">
        <v>1</v>
      </c>
      <c r="E34" s="10"/>
      <c r="F34" s="10">
        <v>29440</v>
      </c>
      <c r="G34" s="10">
        <f t="shared" si="1"/>
        <v>1008170</v>
      </c>
      <c r="H34" s="10"/>
      <c r="I34" s="8">
        <v>311</v>
      </c>
      <c r="J34" s="6" t="s">
        <v>82</v>
      </c>
      <c r="K34" s="9" t="s">
        <v>0</v>
      </c>
      <c r="L34" s="8">
        <v>251</v>
      </c>
      <c r="M34" s="10">
        <v>29440</v>
      </c>
      <c r="N34" s="10">
        <f t="shared" si="2"/>
        <v>284820</v>
      </c>
    </row>
    <row r="35" spans="1:14" s="11" customFormat="1" ht="21" customHeight="1" x14ac:dyDescent="0.25">
      <c r="A35" s="10"/>
      <c r="B35" s="10"/>
      <c r="C35" s="6"/>
      <c r="D35" s="9"/>
      <c r="E35" s="10"/>
      <c r="F35" s="10"/>
      <c r="G35" s="10">
        <f t="shared" si="1"/>
        <v>1037610</v>
      </c>
      <c r="H35" s="10"/>
      <c r="I35" s="10"/>
      <c r="J35" s="6" t="s">
        <v>393</v>
      </c>
      <c r="K35" s="9" t="s">
        <v>0</v>
      </c>
      <c r="L35" s="8"/>
      <c r="M35" s="10">
        <v>400000</v>
      </c>
      <c r="N35" s="10">
        <f t="shared" si="2"/>
        <v>314260</v>
      </c>
    </row>
    <row r="36" spans="1:14" s="11" customFormat="1" ht="21" customHeight="1" x14ac:dyDescent="0.25">
      <c r="A36" s="10"/>
      <c r="B36" s="10"/>
      <c r="C36" s="6"/>
      <c r="D36" s="9"/>
      <c r="E36" s="8"/>
      <c r="F36" s="10"/>
      <c r="G36" s="10">
        <f t="shared" si="1"/>
        <v>1037610</v>
      </c>
      <c r="H36" s="10"/>
      <c r="I36" s="10"/>
      <c r="J36" s="6" t="s">
        <v>343</v>
      </c>
      <c r="K36" s="9" t="s">
        <v>0</v>
      </c>
      <c r="L36" s="8"/>
      <c r="M36" s="10">
        <v>4690</v>
      </c>
      <c r="N36" s="10">
        <f t="shared" si="2"/>
        <v>714260</v>
      </c>
    </row>
    <row r="37" spans="1:14" s="11" customFormat="1" ht="21" customHeight="1" x14ac:dyDescent="0.25">
      <c r="A37" s="10"/>
      <c r="B37" s="10"/>
      <c r="C37" s="20" t="s">
        <v>395</v>
      </c>
      <c r="D37" s="9"/>
      <c r="E37" s="8"/>
      <c r="F37" s="10"/>
      <c r="G37" s="10">
        <f t="shared" si="1"/>
        <v>1037610</v>
      </c>
      <c r="H37" s="10"/>
      <c r="I37" s="10"/>
      <c r="J37" s="6"/>
      <c r="K37" s="9" t="s">
        <v>0</v>
      </c>
      <c r="L37" s="8"/>
      <c r="M37" s="10"/>
      <c r="N37" s="10">
        <f t="shared" si="2"/>
        <v>718950</v>
      </c>
    </row>
    <row r="38" spans="1:14" s="11" customFormat="1" ht="21" customHeight="1" x14ac:dyDescent="0.25">
      <c r="A38" s="10"/>
      <c r="B38" s="10"/>
      <c r="C38" s="20" t="s">
        <v>396</v>
      </c>
      <c r="D38" s="9"/>
      <c r="E38" s="8"/>
      <c r="F38" s="10"/>
      <c r="G38" s="10">
        <f t="shared" si="1"/>
        <v>1037610</v>
      </c>
      <c r="H38" s="10"/>
      <c r="I38" s="10"/>
      <c r="J38" s="6"/>
      <c r="K38" s="9" t="s">
        <v>0</v>
      </c>
      <c r="L38" s="8"/>
      <c r="M38" s="10"/>
      <c r="N38" s="10">
        <f t="shared" si="2"/>
        <v>718950</v>
      </c>
    </row>
    <row r="39" spans="1:14" s="11" customFormat="1" ht="21" customHeight="1" x14ac:dyDescent="0.25">
      <c r="A39" s="10"/>
      <c r="B39" s="10"/>
      <c r="C39" s="6"/>
      <c r="D39" s="9"/>
      <c r="E39" s="8"/>
      <c r="F39" s="10"/>
      <c r="G39" s="10">
        <f t="shared" si="1"/>
        <v>1037610</v>
      </c>
      <c r="H39" s="10"/>
      <c r="I39" s="10"/>
      <c r="J39" s="31" t="s">
        <v>397</v>
      </c>
      <c r="K39" s="9" t="s">
        <v>0</v>
      </c>
      <c r="L39" s="8"/>
      <c r="M39" s="10"/>
      <c r="N39" s="10">
        <f t="shared" si="2"/>
        <v>718950</v>
      </c>
    </row>
    <row r="40" spans="1:14" s="11" customFormat="1" ht="21" customHeight="1" x14ac:dyDescent="0.25">
      <c r="A40" s="10"/>
      <c r="B40" s="10"/>
      <c r="C40" s="6"/>
      <c r="D40" s="9"/>
      <c r="E40" s="8"/>
      <c r="F40" s="10"/>
      <c r="G40" s="10">
        <f t="shared" si="1"/>
        <v>1037610</v>
      </c>
      <c r="H40" s="10"/>
      <c r="I40" s="10"/>
      <c r="J40" s="36" t="s">
        <v>399</v>
      </c>
      <c r="K40" s="9" t="s">
        <v>0</v>
      </c>
      <c r="L40" s="8"/>
      <c r="M40" s="10"/>
      <c r="N40" s="10">
        <f t="shared" si="2"/>
        <v>718950</v>
      </c>
    </row>
    <row r="41" spans="1:14" s="11" customFormat="1" ht="21" customHeight="1" x14ac:dyDescent="0.25">
      <c r="A41" s="10"/>
      <c r="B41" s="10"/>
      <c r="C41" s="6"/>
      <c r="D41" s="9"/>
      <c r="E41" s="10"/>
      <c r="F41" s="10"/>
      <c r="G41" s="10">
        <f t="shared" si="1"/>
        <v>1037610</v>
      </c>
      <c r="H41" s="10"/>
      <c r="I41" s="10"/>
      <c r="J41" s="31" t="s">
        <v>398</v>
      </c>
      <c r="K41" s="9" t="s">
        <v>0</v>
      </c>
      <c r="L41" s="10"/>
      <c r="M41" s="10"/>
      <c r="N41" s="10">
        <f t="shared" si="2"/>
        <v>718950</v>
      </c>
    </row>
    <row r="42" spans="1:14" ht="31.5" customHeight="1" x14ac:dyDescent="0.25">
      <c r="A42" s="46" t="s">
        <v>9</v>
      </c>
      <c r="B42" s="46"/>
      <c r="C42" s="47"/>
      <c r="D42" s="54">
        <f>G41+F41</f>
        <v>1037610</v>
      </c>
      <c r="E42" s="54"/>
      <c r="F42" s="54"/>
      <c r="G42" s="54"/>
      <c r="H42" s="48" t="s">
        <v>10</v>
      </c>
      <c r="I42" s="48"/>
      <c r="J42" s="49"/>
      <c r="K42" s="54">
        <f>N41+M41</f>
        <v>718950</v>
      </c>
      <c r="L42" s="54"/>
      <c r="M42" s="54"/>
      <c r="N42" s="54"/>
    </row>
    <row r="43" spans="1:14" ht="30.75" customHeight="1" x14ac:dyDescent="0.25">
      <c r="A43" s="48" t="s">
        <v>10</v>
      </c>
      <c r="B43" s="48"/>
      <c r="C43" s="49"/>
      <c r="D43" s="55">
        <f>K42</f>
        <v>718950</v>
      </c>
      <c r="E43" s="55"/>
      <c r="F43" s="55"/>
      <c r="G43" s="55"/>
      <c r="H43" s="59"/>
      <c r="I43" s="59"/>
      <c r="J43" s="13"/>
      <c r="K43" s="61"/>
      <c r="L43" s="61"/>
      <c r="M43" s="61"/>
      <c r="N43" s="14"/>
    </row>
    <row r="44" spans="1:14" ht="36.75" customHeight="1" x14ac:dyDescent="0.25">
      <c r="A44" s="50" t="s">
        <v>11</v>
      </c>
      <c r="B44" s="50"/>
      <c r="C44" s="51"/>
      <c r="D44" s="63">
        <f>D42-D43</f>
        <v>318660</v>
      </c>
      <c r="E44" s="63"/>
      <c r="F44" s="63"/>
      <c r="G44" s="63"/>
      <c r="H44" s="59"/>
      <c r="I44" s="59"/>
      <c r="J44" s="13"/>
      <c r="K44" s="60"/>
      <c r="L44" s="60"/>
      <c r="M44" s="60"/>
      <c r="N44" s="15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</sheetData>
  <mergeCells count="21">
    <mergeCell ref="A44:C44"/>
    <mergeCell ref="D44:G44"/>
    <mergeCell ref="H44:I44"/>
    <mergeCell ref="K44:M44"/>
    <mergeCell ref="A4:E4"/>
    <mergeCell ref="A42:C42"/>
    <mergeCell ref="D42:G42"/>
    <mergeCell ref="H42:J42"/>
    <mergeCell ref="K42:N42"/>
    <mergeCell ref="A43:C43"/>
    <mergeCell ref="D43:G43"/>
    <mergeCell ref="H43:I43"/>
    <mergeCell ref="K43:M43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N56"/>
  <sheetViews>
    <sheetView view="pageBreakPreview" topLeftCell="A22" zoomScale="115" zoomScaleNormal="145" zoomScaleSheetLayoutView="115" zoomScalePageLayoutView="85" workbookViewId="0">
      <selection activeCell="C37" sqref="C37:C3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13</v>
      </c>
      <c r="D3" s="58" t="s">
        <v>4</v>
      </c>
      <c r="E3" s="58"/>
      <c r="F3" s="17" t="s">
        <v>3</v>
      </c>
      <c r="G3" s="3">
        <v>45583</v>
      </c>
      <c r="H3" s="57" t="s">
        <v>8</v>
      </c>
      <c r="I3" s="57"/>
      <c r="J3" s="18" t="s">
        <v>13</v>
      </c>
      <c r="K3" s="62" t="s">
        <v>5</v>
      </c>
      <c r="L3" s="62"/>
      <c r="M3" s="17" t="s">
        <v>3</v>
      </c>
      <c r="N3" s="3">
        <v>45583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(17)'!D44</f>
        <v>318660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980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11610</v>
      </c>
      <c r="G5" s="10">
        <f>F4</f>
        <v>318660</v>
      </c>
      <c r="H5" s="8"/>
      <c r="I5" s="8"/>
      <c r="J5" s="31" t="s">
        <v>54</v>
      </c>
      <c r="K5" s="9" t="s">
        <v>0</v>
      </c>
      <c r="L5" s="8"/>
      <c r="M5" s="10">
        <v>1210</v>
      </c>
      <c r="N5" s="10">
        <f>M4</f>
        <v>980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130</v>
      </c>
      <c r="G6" s="10">
        <f>G5+F5</f>
        <v>330270</v>
      </c>
      <c r="H6" s="8"/>
      <c r="I6" s="8"/>
      <c r="J6" s="31" t="s">
        <v>100</v>
      </c>
      <c r="K6" s="9" t="s">
        <v>0</v>
      </c>
      <c r="L6" s="8"/>
      <c r="M6" s="10">
        <v>300</v>
      </c>
      <c r="N6" s="10">
        <f t="shared" ref="N6" si="0">N5+M5</f>
        <v>2190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130</v>
      </c>
      <c r="G7" s="10">
        <f t="shared" ref="G7:G40" si="1">G6+F6</f>
        <v>330400</v>
      </c>
      <c r="H7" s="8"/>
      <c r="I7" s="8">
        <v>352</v>
      </c>
      <c r="J7" s="6" t="s">
        <v>173</v>
      </c>
      <c r="K7" s="9" t="s">
        <v>0</v>
      </c>
      <c r="L7" s="6">
        <v>315</v>
      </c>
      <c r="M7" s="10">
        <v>32420</v>
      </c>
      <c r="N7" s="10">
        <f>N6+M6</f>
        <v>2490</v>
      </c>
    </row>
    <row r="8" spans="1:14" s="11" customFormat="1" ht="21" customHeight="1" x14ac:dyDescent="0.25">
      <c r="A8" s="8"/>
      <c r="B8" s="8"/>
      <c r="C8" s="6" t="s">
        <v>363</v>
      </c>
      <c r="D8" s="9" t="s">
        <v>1</v>
      </c>
      <c r="E8" s="8"/>
      <c r="F8" s="10">
        <v>4000</v>
      </c>
      <c r="G8" s="10">
        <f t="shared" si="1"/>
        <v>330530</v>
      </c>
      <c r="H8" s="8"/>
      <c r="I8" s="8">
        <v>353</v>
      </c>
      <c r="J8" s="6" t="s">
        <v>175</v>
      </c>
      <c r="K8" s="9" t="s">
        <v>0</v>
      </c>
      <c r="L8" s="6">
        <v>324</v>
      </c>
      <c r="M8" s="10">
        <v>5220</v>
      </c>
      <c r="N8" s="10">
        <f t="shared" ref="N8:N44" si="2">N7+M7</f>
        <v>34910</v>
      </c>
    </row>
    <row r="9" spans="1:14" s="11" customFormat="1" ht="21" customHeight="1" x14ac:dyDescent="0.25">
      <c r="A9" s="8"/>
      <c r="B9" s="8"/>
      <c r="C9" s="6" t="s">
        <v>173</v>
      </c>
      <c r="D9" s="9" t="s">
        <v>1</v>
      </c>
      <c r="E9" s="8"/>
      <c r="F9" s="10">
        <v>26700</v>
      </c>
      <c r="G9" s="10">
        <f t="shared" si="1"/>
        <v>334530</v>
      </c>
      <c r="H9" s="8"/>
      <c r="I9" s="8">
        <v>354</v>
      </c>
      <c r="J9" s="6" t="s">
        <v>43</v>
      </c>
      <c r="K9" s="9" t="s">
        <v>0</v>
      </c>
      <c r="L9" s="6">
        <v>321</v>
      </c>
      <c r="M9" s="10">
        <v>740</v>
      </c>
      <c r="N9" s="10">
        <f t="shared" si="2"/>
        <v>40130</v>
      </c>
    </row>
    <row r="10" spans="1:14" s="11" customFormat="1" ht="21" customHeight="1" x14ac:dyDescent="0.25">
      <c r="A10" s="8"/>
      <c r="B10" s="8"/>
      <c r="C10" s="6" t="s">
        <v>49</v>
      </c>
      <c r="D10" s="9" t="s">
        <v>1</v>
      </c>
      <c r="E10" s="8"/>
      <c r="F10" s="10">
        <v>10000</v>
      </c>
      <c r="G10" s="10">
        <f t="shared" si="1"/>
        <v>361230</v>
      </c>
      <c r="H10" s="8"/>
      <c r="I10" s="8">
        <v>355</v>
      </c>
      <c r="J10" s="6" t="s">
        <v>46</v>
      </c>
      <c r="K10" s="9" t="s">
        <v>0</v>
      </c>
      <c r="L10" s="6">
        <v>316</v>
      </c>
      <c r="M10" s="10">
        <v>15470</v>
      </c>
      <c r="N10" s="10">
        <f t="shared" si="2"/>
        <v>40870</v>
      </c>
    </row>
    <row r="11" spans="1:14" s="11" customFormat="1" ht="21" customHeight="1" x14ac:dyDescent="0.25">
      <c r="A11" s="8"/>
      <c r="B11" s="8"/>
      <c r="C11" s="6" t="s">
        <v>43</v>
      </c>
      <c r="D11" s="9" t="s">
        <v>1</v>
      </c>
      <c r="E11" s="8"/>
      <c r="F11" s="10">
        <v>50950</v>
      </c>
      <c r="G11" s="10">
        <f t="shared" si="1"/>
        <v>371230</v>
      </c>
      <c r="H11" s="8"/>
      <c r="I11" s="8">
        <v>356</v>
      </c>
      <c r="J11" s="6" t="s">
        <v>48</v>
      </c>
      <c r="K11" s="9" t="s">
        <v>0</v>
      </c>
      <c r="L11" s="6">
        <v>320</v>
      </c>
      <c r="M11" s="10">
        <v>1940</v>
      </c>
      <c r="N11" s="10">
        <f t="shared" si="2"/>
        <v>56340</v>
      </c>
    </row>
    <row r="12" spans="1:14" s="11" customFormat="1" ht="21" customHeight="1" x14ac:dyDescent="0.25">
      <c r="A12" s="8"/>
      <c r="B12" s="8"/>
      <c r="C12" s="6" t="s">
        <v>48</v>
      </c>
      <c r="D12" s="9" t="s">
        <v>1</v>
      </c>
      <c r="E12" s="8"/>
      <c r="F12" s="10">
        <v>5500</v>
      </c>
      <c r="G12" s="10">
        <f t="shared" si="1"/>
        <v>422180</v>
      </c>
      <c r="H12" s="8"/>
      <c r="I12" s="8">
        <v>357</v>
      </c>
      <c r="J12" s="6" t="s">
        <v>49</v>
      </c>
      <c r="K12" s="9" t="s">
        <v>0</v>
      </c>
      <c r="L12" s="6">
        <v>322</v>
      </c>
      <c r="M12" s="10">
        <v>6450</v>
      </c>
      <c r="N12" s="10">
        <f t="shared" si="2"/>
        <v>58280</v>
      </c>
    </row>
    <row r="13" spans="1:14" s="11" customFormat="1" ht="21" customHeight="1" x14ac:dyDescent="0.25">
      <c r="A13" s="8"/>
      <c r="B13" s="8"/>
      <c r="C13" s="6" t="s">
        <v>46</v>
      </c>
      <c r="D13" s="9" t="s">
        <v>1</v>
      </c>
      <c r="E13" s="8"/>
      <c r="F13" s="10">
        <v>20000</v>
      </c>
      <c r="G13" s="10">
        <f t="shared" si="1"/>
        <v>427680</v>
      </c>
      <c r="H13" s="8"/>
      <c r="I13" s="8">
        <v>358</v>
      </c>
      <c r="J13" s="6" t="s">
        <v>320</v>
      </c>
      <c r="K13" s="9" t="s">
        <v>0</v>
      </c>
      <c r="L13" s="6">
        <v>326</v>
      </c>
      <c r="M13" s="10">
        <v>6150</v>
      </c>
      <c r="N13" s="10">
        <f t="shared" si="2"/>
        <v>64730</v>
      </c>
    </row>
    <row r="14" spans="1:14" s="11" customFormat="1" ht="21" customHeight="1" x14ac:dyDescent="0.25">
      <c r="A14" s="8"/>
      <c r="B14" s="8"/>
      <c r="C14" s="6" t="s">
        <v>320</v>
      </c>
      <c r="D14" s="9" t="s">
        <v>1</v>
      </c>
      <c r="E14" s="8"/>
      <c r="F14" s="10">
        <v>10000</v>
      </c>
      <c r="G14" s="10">
        <f t="shared" si="1"/>
        <v>447680</v>
      </c>
      <c r="H14" s="8"/>
      <c r="I14" s="8">
        <v>359</v>
      </c>
      <c r="J14" s="6" t="s">
        <v>245</v>
      </c>
      <c r="K14" s="9" t="s">
        <v>0</v>
      </c>
      <c r="L14" s="6">
        <v>319</v>
      </c>
      <c r="M14" s="10">
        <v>74450</v>
      </c>
      <c r="N14" s="10">
        <f t="shared" si="2"/>
        <v>70880</v>
      </c>
    </row>
    <row r="15" spans="1:14" s="11" customFormat="1" ht="21" customHeight="1" x14ac:dyDescent="0.25">
      <c r="A15" s="10"/>
      <c r="B15" s="10"/>
      <c r="C15" s="6" t="s">
        <v>400</v>
      </c>
      <c r="D15" s="9" t="s">
        <v>1</v>
      </c>
      <c r="E15" s="8"/>
      <c r="F15" s="10">
        <v>5000</v>
      </c>
      <c r="G15" s="10">
        <f t="shared" si="1"/>
        <v>457680</v>
      </c>
      <c r="H15" s="10"/>
      <c r="I15" s="8">
        <v>360</v>
      </c>
      <c r="J15" s="6" t="s">
        <v>18</v>
      </c>
      <c r="K15" s="9" t="s">
        <v>0</v>
      </c>
      <c r="L15" s="6">
        <v>342</v>
      </c>
      <c r="M15" s="10">
        <v>4050</v>
      </c>
      <c r="N15" s="10">
        <f t="shared" si="2"/>
        <v>145330</v>
      </c>
    </row>
    <row r="16" spans="1:14" s="11" customFormat="1" ht="21" customHeight="1" x14ac:dyDescent="0.25">
      <c r="A16" s="10"/>
      <c r="B16" s="10"/>
      <c r="C16" s="6" t="s">
        <v>349</v>
      </c>
      <c r="D16" s="9" t="s">
        <v>1</v>
      </c>
      <c r="E16" s="8"/>
      <c r="F16" s="10">
        <v>4110</v>
      </c>
      <c r="G16" s="10">
        <f t="shared" si="1"/>
        <v>462680</v>
      </c>
      <c r="H16" s="10"/>
      <c r="I16" s="8">
        <v>361</v>
      </c>
      <c r="J16" s="6" t="s">
        <v>281</v>
      </c>
      <c r="K16" s="9" t="s">
        <v>0</v>
      </c>
      <c r="L16" s="6">
        <v>328</v>
      </c>
      <c r="M16" s="10">
        <v>17670</v>
      </c>
      <c r="N16" s="10">
        <f t="shared" si="2"/>
        <v>149380</v>
      </c>
    </row>
    <row r="17" spans="1:14" s="11" customFormat="1" ht="21" customHeight="1" x14ac:dyDescent="0.25">
      <c r="A17" s="10"/>
      <c r="B17" s="10"/>
      <c r="C17" s="6" t="s">
        <v>273</v>
      </c>
      <c r="D17" s="9" t="s">
        <v>1</v>
      </c>
      <c r="E17" s="8"/>
      <c r="F17" s="10">
        <v>7900</v>
      </c>
      <c r="G17" s="10">
        <f t="shared" si="1"/>
        <v>466790</v>
      </c>
      <c r="H17" s="10"/>
      <c r="I17" s="8">
        <v>362</v>
      </c>
      <c r="J17" s="6" t="s">
        <v>404</v>
      </c>
      <c r="K17" s="9" t="s">
        <v>0</v>
      </c>
      <c r="L17" s="6">
        <v>327</v>
      </c>
      <c r="M17" s="10">
        <v>1890</v>
      </c>
      <c r="N17" s="10">
        <f t="shared" si="2"/>
        <v>167050</v>
      </c>
    </row>
    <row r="18" spans="1:14" s="11" customFormat="1" ht="21" customHeight="1" x14ac:dyDescent="0.25">
      <c r="A18" s="10"/>
      <c r="B18" s="10"/>
      <c r="C18" s="6" t="s">
        <v>322</v>
      </c>
      <c r="D18" s="9" t="s">
        <v>1</v>
      </c>
      <c r="E18" s="8"/>
      <c r="F18" s="10">
        <v>4230</v>
      </c>
      <c r="G18" s="10">
        <f t="shared" si="1"/>
        <v>474690</v>
      </c>
      <c r="H18" s="10"/>
      <c r="I18" s="8">
        <v>363</v>
      </c>
      <c r="J18" s="6" t="s">
        <v>19</v>
      </c>
      <c r="K18" s="9" t="s">
        <v>0</v>
      </c>
      <c r="L18" s="6">
        <v>328</v>
      </c>
      <c r="M18" s="10">
        <v>4460</v>
      </c>
      <c r="N18" s="10">
        <f t="shared" si="2"/>
        <v>168940</v>
      </c>
    </row>
    <row r="19" spans="1:14" s="11" customFormat="1" ht="21" customHeight="1" x14ac:dyDescent="0.25">
      <c r="A19" s="10"/>
      <c r="B19" s="10"/>
      <c r="C19" s="6" t="s">
        <v>199</v>
      </c>
      <c r="D19" s="9" t="s">
        <v>1</v>
      </c>
      <c r="E19" s="8"/>
      <c r="F19" s="10">
        <v>500</v>
      </c>
      <c r="G19" s="10">
        <f t="shared" si="1"/>
        <v>478920</v>
      </c>
      <c r="H19" s="10"/>
      <c r="I19" s="8">
        <v>364</v>
      </c>
      <c r="J19" s="6" t="s">
        <v>83</v>
      </c>
      <c r="K19" s="9" t="s">
        <v>0</v>
      </c>
      <c r="L19" s="6">
        <v>340</v>
      </c>
      <c r="M19" s="10">
        <v>4240</v>
      </c>
      <c r="N19" s="10">
        <f t="shared" si="2"/>
        <v>173400</v>
      </c>
    </row>
    <row r="20" spans="1:14" s="11" customFormat="1" ht="21" customHeight="1" x14ac:dyDescent="0.25">
      <c r="A20" s="10"/>
      <c r="B20" s="10"/>
      <c r="C20" s="6" t="s">
        <v>334</v>
      </c>
      <c r="D20" s="9" t="s">
        <v>1</v>
      </c>
      <c r="E20" s="8"/>
      <c r="F20" s="10">
        <v>7530</v>
      </c>
      <c r="G20" s="10">
        <f t="shared" si="1"/>
        <v>479420</v>
      </c>
      <c r="H20" s="10"/>
      <c r="I20" s="8">
        <v>365</v>
      </c>
      <c r="J20" s="6" t="s">
        <v>85</v>
      </c>
      <c r="K20" s="9" t="s">
        <v>0</v>
      </c>
      <c r="L20" s="6">
        <v>314</v>
      </c>
      <c r="M20" s="10">
        <v>2630</v>
      </c>
      <c r="N20" s="10">
        <f t="shared" si="2"/>
        <v>177640</v>
      </c>
    </row>
    <row r="21" spans="1:14" s="11" customFormat="1" ht="21" customHeight="1" x14ac:dyDescent="0.25">
      <c r="A21" s="10"/>
      <c r="B21" s="10"/>
      <c r="C21" s="6" t="s">
        <v>401</v>
      </c>
      <c r="D21" s="9" t="s">
        <v>1</v>
      </c>
      <c r="E21" s="8"/>
      <c r="F21" s="10">
        <v>3630</v>
      </c>
      <c r="G21" s="10">
        <f t="shared" si="1"/>
        <v>486950</v>
      </c>
      <c r="H21" s="10"/>
      <c r="I21" s="8">
        <v>366</v>
      </c>
      <c r="J21" s="6" t="s">
        <v>294</v>
      </c>
      <c r="K21" s="9" t="s">
        <v>0</v>
      </c>
      <c r="L21" s="6">
        <v>323</v>
      </c>
      <c r="M21" s="10">
        <v>5110</v>
      </c>
      <c r="N21" s="10">
        <f t="shared" si="2"/>
        <v>180270</v>
      </c>
    </row>
    <row r="22" spans="1:14" s="11" customFormat="1" ht="21" customHeight="1" x14ac:dyDescent="0.25">
      <c r="A22" s="10"/>
      <c r="B22" s="10"/>
      <c r="C22" s="6" t="s">
        <v>372</v>
      </c>
      <c r="D22" s="9" t="s">
        <v>1</v>
      </c>
      <c r="E22" s="8"/>
      <c r="F22" s="10">
        <v>2850</v>
      </c>
      <c r="G22" s="10">
        <f t="shared" si="1"/>
        <v>490580</v>
      </c>
      <c r="H22" s="10"/>
      <c r="I22" s="8">
        <v>367</v>
      </c>
      <c r="J22" s="6" t="s">
        <v>50</v>
      </c>
      <c r="K22" s="9" t="s">
        <v>0</v>
      </c>
      <c r="L22" s="6">
        <v>339</v>
      </c>
      <c r="M22" s="10">
        <v>2820</v>
      </c>
      <c r="N22" s="10">
        <f t="shared" si="2"/>
        <v>185380</v>
      </c>
    </row>
    <row r="23" spans="1:14" s="11" customFormat="1" ht="21" customHeight="1" x14ac:dyDescent="0.25">
      <c r="A23" s="10"/>
      <c r="B23" s="10"/>
      <c r="C23" s="6" t="s">
        <v>402</v>
      </c>
      <c r="D23" s="9" t="s">
        <v>1</v>
      </c>
      <c r="E23" s="8"/>
      <c r="F23" s="10">
        <v>3600</v>
      </c>
      <c r="G23" s="10">
        <f t="shared" si="1"/>
        <v>493430</v>
      </c>
      <c r="H23" s="10"/>
      <c r="I23" s="8">
        <v>368</v>
      </c>
      <c r="J23" s="6" t="s">
        <v>402</v>
      </c>
      <c r="K23" s="9" t="s">
        <v>0</v>
      </c>
      <c r="L23" s="6">
        <v>332</v>
      </c>
      <c r="M23" s="10">
        <v>1130</v>
      </c>
      <c r="N23" s="10">
        <f t="shared" si="2"/>
        <v>188200</v>
      </c>
    </row>
    <row r="24" spans="1:14" s="11" customFormat="1" ht="21" customHeight="1" x14ac:dyDescent="0.25">
      <c r="A24" s="10"/>
      <c r="B24" s="10"/>
      <c r="C24" s="6" t="s">
        <v>19</v>
      </c>
      <c r="D24" s="9" t="s">
        <v>1</v>
      </c>
      <c r="E24" s="8"/>
      <c r="F24" s="10">
        <v>7280</v>
      </c>
      <c r="G24" s="10">
        <f t="shared" si="1"/>
        <v>497030</v>
      </c>
      <c r="H24" s="10"/>
      <c r="I24" s="8">
        <v>369</v>
      </c>
      <c r="J24" s="6" t="s">
        <v>407</v>
      </c>
      <c r="K24" s="9" t="s">
        <v>0</v>
      </c>
      <c r="L24" s="6">
        <v>338</v>
      </c>
      <c r="M24" s="10">
        <v>10480</v>
      </c>
      <c r="N24" s="10">
        <f t="shared" si="2"/>
        <v>189330</v>
      </c>
    </row>
    <row r="25" spans="1:14" s="11" customFormat="1" ht="21" customHeight="1" x14ac:dyDescent="0.25">
      <c r="A25" s="10"/>
      <c r="B25" s="10"/>
      <c r="C25" s="6" t="s">
        <v>51</v>
      </c>
      <c r="D25" s="9" t="s">
        <v>1</v>
      </c>
      <c r="E25" s="8"/>
      <c r="F25" s="10">
        <v>1310</v>
      </c>
      <c r="G25" s="10">
        <f t="shared" si="1"/>
        <v>504310</v>
      </c>
      <c r="H25" s="10"/>
      <c r="I25" s="8">
        <v>370</v>
      </c>
      <c r="J25" s="6" t="s">
        <v>171</v>
      </c>
      <c r="K25" s="9" t="s">
        <v>0</v>
      </c>
      <c r="L25" s="6">
        <v>337</v>
      </c>
      <c r="M25" s="10">
        <v>3900</v>
      </c>
      <c r="N25" s="10">
        <f t="shared" si="2"/>
        <v>199810</v>
      </c>
    </row>
    <row r="26" spans="1:14" s="11" customFormat="1" ht="21" customHeight="1" x14ac:dyDescent="0.25">
      <c r="A26" s="10"/>
      <c r="B26" s="10"/>
      <c r="C26" s="6" t="s">
        <v>111</v>
      </c>
      <c r="D26" s="9" t="s">
        <v>1</v>
      </c>
      <c r="E26" s="8"/>
      <c r="F26" s="10">
        <v>4210</v>
      </c>
      <c r="G26" s="10">
        <f t="shared" si="1"/>
        <v>505620</v>
      </c>
      <c r="H26" s="10"/>
      <c r="I26" s="8">
        <v>371</v>
      </c>
      <c r="J26" s="6" t="s">
        <v>400</v>
      </c>
      <c r="K26" s="9" t="s">
        <v>0</v>
      </c>
      <c r="L26" s="6">
        <v>312</v>
      </c>
      <c r="M26" s="10">
        <v>5180</v>
      </c>
      <c r="N26" s="10">
        <f t="shared" si="2"/>
        <v>203710</v>
      </c>
    </row>
    <row r="27" spans="1:14" s="11" customFormat="1" ht="21" customHeight="1" x14ac:dyDescent="0.25">
      <c r="A27" s="10"/>
      <c r="B27" s="10"/>
      <c r="C27" s="6" t="s">
        <v>106</v>
      </c>
      <c r="D27" s="9" t="s">
        <v>1</v>
      </c>
      <c r="E27" s="8"/>
      <c r="F27" s="10">
        <v>11800</v>
      </c>
      <c r="G27" s="10">
        <f t="shared" si="1"/>
        <v>509830</v>
      </c>
      <c r="H27" s="10"/>
      <c r="I27" s="8">
        <v>372</v>
      </c>
      <c r="J27" s="6" t="s">
        <v>106</v>
      </c>
      <c r="K27" s="9" t="s">
        <v>0</v>
      </c>
      <c r="L27" s="6">
        <v>317</v>
      </c>
      <c r="M27" s="10">
        <v>5120</v>
      </c>
      <c r="N27" s="10">
        <f t="shared" si="2"/>
        <v>208890</v>
      </c>
    </row>
    <row r="28" spans="1:14" s="11" customFormat="1" ht="21" customHeight="1" x14ac:dyDescent="0.25">
      <c r="A28" s="10"/>
      <c r="B28" s="10"/>
      <c r="C28" s="6" t="s">
        <v>291</v>
      </c>
      <c r="D28" s="9" t="s">
        <v>1</v>
      </c>
      <c r="E28" s="8"/>
      <c r="F28" s="10">
        <v>2890</v>
      </c>
      <c r="G28" s="10">
        <f t="shared" si="1"/>
        <v>521630</v>
      </c>
      <c r="H28" s="10"/>
      <c r="I28" s="8">
        <v>373</v>
      </c>
      <c r="J28" s="6" t="s">
        <v>331</v>
      </c>
      <c r="K28" s="9" t="s">
        <v>0</v>
      </c>
      <c r="L28" s="6">
        <v>335</v>
      </c>
      <c r="M28" s="10">
        <v>3410</v>
      </c>
      <c r="N28" s="10">
        <f t="shared" si="2"/>
        <v>214010</v>
      </c>
    </row>
    <row r="29" spans="1:14" s="11" customFormat="1" ht="21" customHeight="1" x14ac:dyDescent="0.25">
      <c r="A29" s="10"/>
      <c r="B29" s="10"/>
      <c r="C29" s="6" t="s">
        <v>83</v>
      </c>
      <c r="D29" s="9" t="s">
        <v>1</v>
      </c>
      <c r="E29" s="8"/>
      <c r="F29" s="10">
        <v>2250</v>
      </c>
      <c r="G29" s="10">
        <f t="shared" si="1"/>
        <v>524520</v>
      </c>
      <c r="H29" s="10"/>
      <c r="I29" s="8">
        <v>374</v>
      </c>
      <c r="J29" s="6" t="s">
        <v>276</v>
      </c>
      <c r="K29" s="9" t="s">
        <v>0</v>
      </c>
      <c r="L29" s="6">
        <v>333</v>
      </c>
      <c r="M29" s="10">
        <v>900</v>
      </c>
      <c r="N29" s="10">
        <f t="shared" si="2"/>
        <v>217420</v>
      </c>
    </row>
    <row r="30" spans="1:14" s="11" customFormat="1" ht="21" customHeight="1" x14ac:dyDescent="0.25">
      <c r="A30" s="10"/>
      <c r="B30" s="10"/>
      <c r="C30" s="6" t="s">
        <v>385</v>
      </c>
      <c r="D30" s="9" t="s">
        <v>1</v>
      </c>
      <c r="E30" s="8"/>
      <c r="F30" s="10">
        <v>2480</v>
      </c>
      <c r="G30" s="10">
        <f t="shared" si="1"/>
        <v>526770</v>
      </c>
      <c r="H30" s="10"/>
      <c r="I30" s="8">
        <v>375</v>
      </c>
      <c r="J30" s="6" t="s">
        <v>111</v>
      </c>
      <c r="K30" s="9" t="s">
        <v>0</v>
      </c>
      <c r="L30" s="6">
        <v>334</v>
      </c>
      <c r="M30" s="10">
        <v>3820</v>
      </c>
      <c r="N30" s="10">
        <f t="shared" si="2"/>
        <v>218320</v>
      </c>
    </row>
    <row r="31" spans="1:14" s="11" customFormat="1" ht="21" customHeight="1" x14ac:dyDescent="0.25">
      <c r="A31" s="10"/>
      <c r="B31" s="10"/>
      <c r="C31" s="6" t="s">
        <v>107</v>
      </c>
      <c r="D31" s="9" t="s">
        <v>1</v>
      </c>
      <c r="E31" s="8"/>
      <c r="F31" s="10">
        <v>4000</v>
      </c>
      <c r="G31" s="10">
        <f t="shared" si="1"/>
        <v>529250</v>
      </c>
      <c r="H31" s="10"/>
      <c r="I31" s="8">
        <v>376</v>
      </c>
      <c r="J31" s="6" t="s">
        <v>405</v>
      </c>
      <c r="K31" s="9" t="s">
        <v>0</v>
      </c>
      <c r="L31" s="6">
        <v>330</v>
      </c>
      <c r="M31" s="10">
        <v>1360</v>
      </c>
      <c r="N31" s="10">
        <f t="shared" si="2"/>
        <v>222140</v>
      </c>
    </row>
    <row r="32" spans="1:14" s="11" customFormat="1" ht="21" customHeight="1" x14ac:dyDescent="0.25">
      <c r="A32" s="10"/>
      <c r="B32" s="10"/>
      <c r="C32" s="6" t="s">
        <v>44</v>
      </c>
      <c r="D32" s="9" t="s">
        <v>1</v>
      </c>
      <c r="E32" s="8"/>
      <c r="F32" s="10">
        <v>11530</v>
      </c>
      <c r="G32" s="10">
        <f t="shared" si="1"/>
        <v>533250</v>
      </c>
      <c r="H32" s="10"/>
      <c r="I32" s="8">
        <v>377</v>
      </c>
      <c r="J32" s="6" t="s">
        <v>403</v>
      </c>
      <c r="K32" s="9" t="s">
        <v>0</v>
      </c>
      <c r="L32" s="6">
        <v>311</v>
      </c>
      <c r="M32" s="10">
        <v>4780</v>
      </c>
      <c r="N32" s="10">
        <f t="shared" si="2"/>
        <v>223500</v>
      </c>
    </row>
    <row r="33" spans="1:14" s="11" customFormat="1" ht="21" customHeight="1" x14ac:dyDescent="0.25">
      <c r="A33" s="10"/>
      <c r="B33" s="10"/>
      <c r="C33" s="6" t="s">
        <v>290</v>
      </c>
      <c r="D33" s="9" t="s">
        <v>1</v>
      </c>
      <c r="E33" s="8"/>
      <c r="F33" s="10">
        <v>150</v>
      </c>
      <c r="G33" s="10">
        <f t="shared" si="1"/>
        <v>544780</v>
      </c>
      <c r="H33" s="10"/>
      <c r="I33" s="8">
        <v>378</v>
      </c>
      <c r="J33" s="6" t="s">
        <v>372</v>
      </c>
      <c r="K33" s="9" t="s">
        <v>0</v>
      </c>
      <c r="L33" s="6">
        <v>318</v>
      </c>
      <c r="M33" s="10">
        <v>1050</v>
      </c>
      <c r="N33" s="10">
        <f t="shared" si="2"/>
        <v>228280</v>
      </c>
    </row>
    <row r="34" spans="1:14" s="11" customFormat="1" ht="21" customHeight="1" x14ac:dyDescent="0.25">
      <c r="A34" s="10"/>
      <c r="B34" s="10"/>
      <c r="C34" s="6" t="s">
        <v>39</v>
      </c>
      <c r="D34" s="9" t="s">
        <v>1</v>
      </c>
      <c r="E34" s="10"/>
      <c r="F34" s="10">
        <v>25560</v>
      </c>
      <c r="G34" s="10">
        <f t="shared" si="1"/>
        <v>544930</v>
      </c>
      <c r="H34" s="10"/>
      <c r="I34" s="8">
        <v>379</v>
      </c>
      <c r="J34" s="6" t="s">
        <v>376</v>
      </c>
      <c r="K34" s="9" t="s">
        <v>0</v>
      </c>
      <c r="L34" s="6">
        <v>309</v>
      </c>
      <c r="M34" s="10">
        <v>2750</v>
      </c>
      <c r="N34" s="10">
        <f t="shared" si="2"/>
        <v>229330</v>
      </c>
    </row>
    <row r="35" spans="1:14" s="11" customFormat="1" ht="21" customHeight="1" x14ac:dyDescent="0.25">
      <c r="A35" s="10"/>
      <c r="B35" s="10"/>
      <c r="C35" s="6"/>
      <c r="D35" s="9"/>
      <c r="E35" s="8"/>
      <c r="F35" s="10"/>
      <c r="G35" s="10">
        <f t="shared" si="1"/>
        <v>570490</v>
      </c>
      <c r="H35" s="10"/>
      <c r="I35" s="8">
        <v>380</v>
      </c>
      <c r="J35" s="6" t="s">
        <v>258</v>
      </c>
      <c r="K35" s="9" t="s">
        <v>0</v>
      </c>
      <c r="L35" s="6">
        <v>325</v>
      </c>
      <c r="M35" s="10">
        <v>1320</v>
      </c>
      <c r="N35" s="10">
        <f t="shared" si="2"/>
        <v>232080</v>
      </c>
    </row>
    <row r="36" spans="1:14" s="11" customFormat="1" ht="21" customHeight="1" x14ac:dyDescent="0.25">
      <c r="A36" s="10"/>
      <c r="B36" s="10"/>
      <c r="C36" s="6"/>
      <c r="D36" s="9"/>
      <c r="E36" s="8"/>
      <c r="F36" s="10"/>
      <c r="G36" s="22">
        <f t="shared" si="1"/>
        <v>570490</v>
      </c>
      <c r="H36" s="10"/>
      <c r="I36" s="8">
        <v>381</v>
      </c>
      <c r="J36" s="6" t="s">
        <v>322</v>
      </c>
      <c r="K36" s="9" t="s">
        <v>0</v>
      </c>
      <c r="L36" s="6">
        <v>331</v>
      </c>
      <c r="M36" s="10">
        <v>1650</v>
      </c>
      <c r="N36" s="10">
        <f t="shared" si="2"/>
        <v>233400</v>
      </c>
    </row>
    <row r="37" spans="1:14" s="11" customFormat="1" ht="21" customHeight="1" x14ac:dyDescent="0.25">
      <c r="A37" s="10"/>
      <c r="B37" s="10"/>
      <c r="C37" s="31" t="s">
        <v>412</v>
      </c>
      <c r="D37" s="9"/>
      <c r="E37" s="8"/>
      <c r="F37" s="10"/>
      <c r="G37" s="22">
        <f t="shared" si="1"/>
        <v>570490</v>
      </c>
      <c r="H37" s="10"/>
      <c r="I37" s="8">
        <v>382</v>
      </c>
      <c r="J37" s="6" t="s">
        <v>86</v>
      </c>
      <c r="K37" s="9" t="s">
        <v>0</v>
      </c>
      <c r="L37" s="6">
        <v>329</v>
      </c>
      <c r="M37" s="10">
        <v>15550</v>
      </c>
      <c r="N37" s="10">
        <f t="shared" si="2"/>
        <v>235050</v>
      </c>
    </row>
    <row r="38" spans="1:14" s="11" customFormat="1" ht="21" customHeight="1" x14ac:dyDescent="0.25">
      <c r="A38" s="10"/>
      <c r="B38" s="10"/>
      <c r="C38" s="31" t="s">
        <v>411</v>
      </c>
      <c r="D38" s="9"/>
      <c r="E38" s="8"/>
      <c r="F38" s="10"/>
      <c r="G38" s="22">
        <f t="shared" si="1"/>
        <v>570490</v>
      </c>
      <c r="H38" s="10"/>
      <c r="I38" s="8">
        <v>383</v>
      </c>
      <c r="J38" s="6" t="s">
        <v>290</v>
      </c>
      <c r="K38" s="9" t="s">
        <v>0</v>
      </c>
      <c r="L38" s="6">
        <v>341</v>
      </c>
      <c r="M38" s="10">
        <v>16870</v>
      </c>
      <c r="N38" s="10">
        <f t="shared" si="2"/>
        <v>250600</v>
      </c>
    </row>
    <row r="39" spans="1:14" s="11" customFormat="1" ht="21" customHeight="1" x14ac:dyDescent="0.25">
      <c r="A39" s="10"/>
      <c r="B39" s="10"/>
      <c r="C39" s="6"/>
      <c r="D39" s="9"/>
      <c r="E39" s="8"/>
      <c r="F39" s="10"/>
      <c r="G39" s="22">
        <f t="shared" si="1"/>
        <v>570490</v>
      </c>
      <c r="H39" s="10"/>
      <c r="I39" s="8">
        <v>384</v>
      </c>
      <c r="J39" s="6" t="s">
        <v>406</v>
      </c>
      <c r="K39" s="9" t="s">
        <v>0</v>
      </c>
      <c r="L39" s="6">
        <v>310</v>
      </c>
      <c r="M39" s="10">
        <v>240</v>
      </c>
      <c r="N39" s="10">
        <f t="shared" si="2"/>
        <v>267470</v>
      </c>
    </row>
    <row r="40" spans="1:14" s="11" customFormat="1" ht="21" customHeight="1" x14ac:dyDescent="0.25">
      <c r="A40" s="10"/>
      <c r="B40" s="10"/>
      <c r="C40" s="6"/>
      <c r="D40" s="9"/>
      <c r="E40" s="8"/>
      <c r="F40" s="10"/>
      <c r="G40" s="22">
        <f t="shared" si="1"/>
        <v>570490</v>
      </c>
      <c r="H40" s="10"/>
      <c r="I40" s="8">
        <v>385</v>
      </c>
      <c r="J40" s="6" t="s">
        <v>39</v>
      </c>
      <c r="K40" s="9" t="s">
        <v>0</v>
      </c>
      <c r="L40" s="8"/>
      <c r="M40" s="10">
        <v>25560</v>
      </c>
      <c r="N40" s="10">
        <f t="shared" si="2"/>
        <v>267710</v>
      </c>
    </row>
    <row r="41" spans="1:14" s="11" customFormat="1" ht="21" customHeight="1" x14ac:dyDescent="0.25">
      <c r="A41" s="10"/>
      <c r="B41" s="10"/>
      <c r="C41" s="6"/>
      <c r="D41" s="9"/>
      <c r="E41" s="10"/>
      <c r="F41" s="10"/>
      <c r="G41" s="22">
        <f>G40+F40</f>
        <v>570490</v>
      </c>
      <c r="H41" s="10"/>
      <c r="I41" s="10"/>
      <c r="J41" s="6"/>
      <c r="K41" s="9"/>
      <c r="L41" s="10"/>
      <c r="M41" s="10"/>
      <c r="N41" s="10">
        <f t="shared" si="2"/>
        <v>293270</v>
      </c>
    </row>
    <row r="42" spans="1:14" s="11" customFormat="1" ht="21" customHeight="1" x14ac:dyDescent="0.25">
      <c r="A42" s="37"/>
      <c r="B42" s="37"/>
      <c r="C42" s="38"/>
      <c r="D42" s="9"/>
      <c r="E42" s="10"/>
      <c r="F42" s="10"/>
      <c r="G42" s="10"/>
      <c r="H42" s="37"/>
      <c r="I42" s="37"/>
      <c r="J42" s="31" t="s">
        <v>408</v>
      </c>
      <c r="K42" s="9"/>
      <c r="L42" s="10"/>
      <c r="M42" s="10"/>
      <c r="N42" s="10">
        <f t="shared" si="2"/>
        <v>293270</v>
      </c>
    </row>
    <row r="43" spans="1:14" s="11" customFormat="1" ht="21" customHeight="1" x14ac:dyDescent="0.25">
      <c r="A43" s="37"/>
      <c r="B43" s="37"/>
      <c r="C43" s="38"/>
      <c r="D43" s="9"/>
      <c r="E43" s="10"/>
      <c r="F43" s="10"/>
      <c r="G43" s="10"/>
      <c r="H43" s="37"/>
      <c r="I43" s="37"/>
      <c r="J43" s="36" t="s">
        <v>409</v>
      </c>
      <c r="K43" s="9"/>
      <c r="L43" s="10"/>
      <c r="M43" s="10"/>
      <c r="N43" s="10">
        <f t="shared" si="2"/>
        <v>293270</v>
      </c>
    </row>
    <row r="44" spans="1:14" s="11" customFormat="1" ht="21" customHeight="1" x14ac:dyDescent="0.25">
      <c r="A44" s="37"/>
      <c r="B44" s="37"/>
      <c r="C44" s="38"/>
      <c r="D44" s="9"/>
      <c r="E44" s="10"/>
      <c r="F44" s="10"/>
      <c r="G44" s="10"/>
      <c r="H44" s="37"/>
      <c r="I44" s="37"/>
      <c r="J44" s="31" t="s">
        <v>410</v>
      </c>
      <c r="K44" s="9"/>
      <c r="L44" s="10"/>
      <c r="M44" s="10"/>
      <c r="N44" s="10">
        <f t="shared" si="2"/>
        <v>293270</v>
      </c>
    </row>
    <row r="45" spans="1:14" ht="31.5" customHeight="1" x14ac:dyDescent="0.25">
      <c r="A45" s="46" t="s">
        <v>9</v>
      </c>
      <c r="B45" s="46"/>
      <c r="C45" s="47"/>
      <c r="D45" s="54">
        <f>G41+F41</f>
        <v>570490</v>
      </c>
      <c r="E45" s="54"/>
      <c r="F45" s="54"/>
      <c r="G45" s="54"/>
      <c r="H45" s="48" t="s">
        <v>10</v>
      </c>
      <c r="I45" s="48"/>
      <c r="J45" s="49"/>
      <c r="K45" s="54">
        <f>N41+M41</f>
        <v>293270</v>
      </c>
      <c r="L45" s="54"/>
      <c r="M45" s="54"/>
      <c r="N45" s="54"/>
    </row>
    <row r="46" spans="1:14" ht="30.75" customHeight="1" x14ac:dyDescent="0.25">
      <c r="A46" s="48" t="s">
        <v>10</v>
      </c>
      <c r="B46" s="48"/>
      <c r="C46" s="49"/>
      <c r="D46" s="55">
        <f>K45</f>
        <v>293270</v>
      </c>
      <c r="E46" s="55"/>
      <c r="F46" s="55"/>
      <c r="G46" s="55"/>
      <c r="H46" s="59"/>
      <c r="I46" s="59"/>
      <c r="J46" s="13"/>
      <c r="K46" s="61"/>
      <c r="L46" s="61"/>
      <c r="M46" s="61"/>
      <c r="N46" s="14"/>
    </row>
    <row r="47" spans="1:14" ht="36.75" customHeight="1" x14ac:dyDescent="0.25">
      <c r="A47" s="50" t="s">
        <v>11</v>
      </c>
      <c r="B47" s="50"/>
      <c r="C47" s="51"/>
      <c r="D47" s="63">
        <f>D45-D46</f>
        <v>277220</v>
      </c>
      <c r="E47" s="63"/>
      <c r="F47" s="63"/>
      <c r="G47" s="63"/>
      <c r="H47" s="59"/>
      <c r="I47" s="59"/>
      <c r="J47" s="13"/>
      <c r="K47" s="60"/>
      <c r="L47" s="60"/>
      <c r="M47" s="60"/>
      <c r="N47" s="15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3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3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</sheetData>
  <mergeCells count="21">
    <mergeCell ref="A47:C47"/>
    <mergeCell ref="D47:G47"/>
    <mergeCell ref="H47:I47"/>
    <mergeCell ref="K47:M47"/>
    <mergeCell ref="A4:E4"/>
    <mergeCell ref="A45:C45"/>
    <mergeCell ref="D45:G45"/>
    <mergeCell ref="H45:J45"/>
    <mergeCell ref="K45:N45"/>
    <mergeCell ref="A46:C46"/>
    <mergeCell ref="D46:G46"/>
    <mergeCell ref="H46:I46"/>
    <mergeCell ref="K46:M4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N48"/>
  <sheetViews>
    <sheetView view="pageBreakPreview" topLeftCell="A16" zoomScale="115" zoomScaleNormal="145" zoomScaleSheetLayoutView="115" zoomScalePageLayoutView="85" workbookViewId="0">
      <selection activeCell="L34" sqref="L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67</v>
      </c>
      <c r="D3" s="58" t="s">
        <v>4</v>
      </c>
      <c r="E3" s="58"/>
      <c r="F3" s="17" t="s">
        <v>3</v>
      </c>
      <c r="G3" s="3">
        <v>45584</v>
      </c>
      <c r="H3" s="57" t="s">
        <v>8</v>
      </c>
      <c r="I3" s="57"/>
      <c r="J3" s="18" t="s">
        <v>67</v>
      </c>
      <c r="K3" s="62" t="s">
        <v>5</v>
      </c>
      <c r="L3" s="62"/>
      <c r="M3" s="17" t="s">
        <v>3</v>
      </c>
      <c r="N3" s="3">
        <v>45584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(18)'!D47</f>
        <v>277220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1010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12240</v>
      </c>
      <c r="G5" s="10">
        <f>F4</f>
        <v>277220</v>
      </c>
      <c r="H5" s="8"/>
      <c r="I5" s="8"/>
      <c r="J5" s="31" t="s">
        <v>54</v>
      </c>
      <c r="K5" s="9" t="s">
        <v>0</v>
      </c>
      <c r="L5" s="8"/>
      <c r="M5" s="10">
        <v>1270</v>
      </c>
      <c r="N5" s="10">
        <f>M4</f>
        <v>1010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90</v>
      </c>
      <c r="G6" s="10">
        <f>G5+F5</f>
        <v>289460</v>
      </c>
      <c r="H6" s="8"/>
      <c r="I6" s="8"/>
      <c r="J6" s="31" t="s">
        <v>100</v>
      </c>
      <c r="K6" s="9" t="s">
        <v>0</v>
      </c>
      <c r="L6" s="8"/>
      <c r="M6" s="10">
        <v>350</v>
      </c>
      <c r="N6" s="10">
        <f t="shared" ref="N6" si="0">N5+M5</f>
        <v>2280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90</v>
      </c>
      <c r="G7" s="10">
        <f t="shared" ref="G7:G33" si="1">G6+F6</f>
        <v>289550</v>
      </c>
      <c r="H7" s="8"/>
      <c r="I7" s="8">
        <v>386</v>
      </c>
      <c r="J7" s="6" t="s">
        <v>174</v>
      </c>
      <c r="K7" s="9" t="s">
        <v>0</v>
      </c>
      <c r="L7" s="8">
        <v>356</v>
      </c>
      <c r="M7" s="10">
        <v>740</v>
      </c>
      <c r="N7" s="10">
        <f>N6+M6</f>
        <v>2630</v>
      </c>
    </row>
    <row r="8" spans="1:14" s="11" customFormat="1" ht="21" customHeight="1" x14ac:dyDescent="0.25">
      <c r="A8" s="8"/>
      <c r="B8" s="8"/>
      <c r="C8" s="6" t="s">
        <v>413</v>
      </c>
      <c r="D8" s="9" t="s">
        <v>1</v>
      </c>
      <c r="E8" s="8"/>
      <c r="F8" s="10">
        <v>2000</v>
      </c>
      <c r="G8" s="10">
        <f t="shared" si="1"/>
        <v>289640</v>
      </c>
      <c r="H8" s="8"/>
      <c r="I8" s="8">
        <v>387</v>
      </c>
      <c r="J8" s="6" t="s">
        <v>173</v>
      </c>
      <c r="K8" s="9" t="s">
        <v>0</v>
      </c>
      <c r="L8" s="8">
        <v>351</v>
      </c>
      <c r="M8" s="10">
        <v>20260</v>
      </c>
      <c r="N8" s="10">
        <f t="shared" ref="N8:N36" si="2">N7+M7</f>
        <v>3370</v>
      </c>
    </row>
    <row r="9" spans="1:14" s="11" customFormat="1" ht="21" customHeight="1" x14ac:dyDescent="0.25">
      <c r="A9" s="8"/>
      <c r="B9" s="8"/>
      <c r="C9" s="6" t="s">
        <v>245</v>
      </c>
      <c r="D9" s="9" t="s">
        <v>1</v>
      </c>
      <c r="E9" s="8"/>
      <c r="F9" s="10">
        <v>20000</v>
      </c>
      <c r="G9" s="10">
        <f t="shared" si="1"/>
        <v>291640</v>
      </c>
      <c r="H9" s="8"/>
      <c r="I9" s="8">
        <v>388</v>
      </c>
      <c r="J9" s="6" t="s">
        <v>175</v>
      </c>
      <c r="K9" s="9" t="s">
        <v>0</v>
      </c>
      <c r="L9" s="8">
        <v>358</v>
      </c>
      <c r="M9" s="10">
        <v>4680</v>
      </c>
      <c r="N9" s="10">
        <f t="shared" si="2"/>
        <v>23630</v>
      </c>
    </row>
    <row r="10" spans="1:14" s="11" customFormat="1" ht="21" customHeight="1" x14ac:dyDescent="0.25">
      <c r="A10" s="8"/>
      <c r="B10" s="8"/>
      <c r="C10" s="6" t="s">
        <v>335</v>
      </c>
      <c r="D10" s="9" t="s">
        <v>1</v>
      </c>
      <c r="E10" s="8"/>
      <c r="F10" s="10">
        <v>210</v>
      </c>
      <c r="G10" s="10">
        <f t="shared" si="1"/>
        <v>311640</v>
      </c>
      <c r="H10" s="8"/>
      <c r="I10" s="8">
        <v>389</v>
      </c>
      <c r="J10" s="6" t="s">
        <v>43</v>
      </c>
      <c r="K10" s="9" t="s">
        <v>0</v>
      </c>
      <c r="L10" s="8">
        <v>349</v>
      </c>
      <c r="M10" s="10">
        <v>6020</v>
      </c>
      <c r="N10" s="10">
        <f t="shared" si="2"/>
        <v>28310</v>
      </c>
    </row>
    <row r="11" spans="1:14" s="11" customFormat="1" ht="21" customHeight="1" x14ac:dyDescent="0.25">
      <c r="A11" s="8"/>
      <c r="B11" s="8"/>
      <c r="C11" s="6" t="s">
        <v>85</v>
      </c>
      <c r="D11" s="9" t="s">
        <v>1</v>
      </c>
      <c r="E11" s="8"/>
      <c r="F11" s="10">
        <v>20000</v>
      </c>
      <c r="G11" s="10">
        <f t="shared" si="1"/>
        <v>311850</v>
      </c>
      <c r="H11" s="8"/>
      <c r="I11" s="8">
        <v>390</v>
      </c>
      <c r="J11" s="6" t="s">
        <v>46</v>
      </c>
      <c r="K11" s="9" t="s">
        <v>0</v>
      </c>
      <c r="L11" s="8">
        <v>350</v>
      </c>
      <c r="M11" s="10">
        <v>28870</v>
      </c>
      <c r="N11" s="10">
        <f t="shared" si="2"/>
        <v>34330</v>
      </c>
    </row>
    <row r="12" spans="1:14" s="11" customFormat="1" ht="21" customHeight="1" x14ac:dyDescent="0.25">
      <c r="A12" s="8"/>
      <c r="B12" s="8"/>
      <c r="C12" s="6" t="s">
        <v>246</v>
      </c>
      <c r="D12" s="9" t="s">
        <v>1</v>
      </c>
      <c r="E12" s="8"/>
      <c r="F12" s="10">
        <v>720</v>
      </c>
      <c r="G12" s="10">
        <f t="shared" si="1"/>
        <v>331850</v>
      </c>
      <c r="H12" s="8"/>
      <c r="I12" s="8">
        <v>391</v>
      </c>
      <c r="J12" s="6" t="s">
        <v>49</v>
      </c>
      <c r="K12" s="9" t="s">
        <v>0</v>
      </c>
      <c r="L12" s="8">
        <v>354</v>
      </c>
      <c r="M12" s="10">
        <v>9450</v>
      </c>
      <c r="N12" s="10">
        <f t="shared" si="2"/>
        <v>63200</v>
      </c>
    </row>
    <row r="13" spans="1:14" s="11" customFormat="1" ht="21" customHeight="1" x14ac:dyDescent="0.25">
      <c r="A13" s="8"/>
      <c r="B13" s="8"/>
      <c r="C13" s="6" t="s">
        <v>256</v>
      </c>
      <c r="D13" s="9" t="s">
        <v>1</v>
      </c>
      <c r="E13" s="8"/>
      <c r="F13" s="10">
        <v>2970</v>
      </c>
      <c r="G13" s="10">
        <f t="shared" si="1"/>
        <v>332570</v>
      </c>
      <c r="H13" s="8"/>
      <c r="I13" s="8">
        <v>392</v>
      </c>
      <c r="J13" s="6" t="s">
        <v>320</v>
      </c>
      <c r="K13" s="9" t="s">
        <v>0</v>
      </c>
      <c r="L13" s="8">
        <v>352</v>
      </c>
      <c r="M13" s="10">
        <v>28590</v>
      </c>
      <c r="N13" s="10">
        <f t="shared" si="2"/>
        <v>72650</v>
      </c>
    </row>
    <row r="14" spans="1:14" s="11" customFormat="1" ht="21" customHeight="1" x14ac:dyDescent="0.25">
      <c r="A14" s="8"/>
      <c r="B14" s="8"/>
      <c r="C14" s="6" t="s">
        <v>199</v>
      </c>
      <c r="D14" s="9" t="s">
        <v>1</v>
      </c>
      <c r="E14" s="8"/>
      <c r="F14" s="10">
        <v>5280</v>
      </c>
      <c r="G14" s="10">
        <f t="shared" si="1"/>
        <v>335540</v>
      </c>
      <c r="H14" s="8"/>
      <c r="I14" s="8">
        <v>393</v>
      </c>
      <c r="J14" s="6" t="s">
        <v>245</v>
      </c>
      <c r="K14" s="9" t="s">
        <v>0</v>
      </c>
      <c r="L14" s="8">
        <v>366</v>
      </c>
      <c r="M14" s="10">
        <v>21700</v>
      </c>
      <c r="N14" s="10">
        <f t="shared" si="2"/>
        <v>101240</v>
      </c>
    </row>
    <row r="15" spans="1:14" s="11" customFormat="1" ht="21" customHeight="1" x14ac:dyDescent="0.25">
      <c r="A15" s="10"/>
      <c r="B15" s="10"/>
      <c r="C15" s="6" t="s">
        <v>169</v>
      </c>
      <c r="D15" s="9" t="s">
        <v>1</v>
      </c>
      <c r="E15" s="8"/>
      <c r="F15" s="10">
        <v>3250</v>
      </c>
      <c r="G15" s="10">
        <f t="shared" si="1"/>
        <v>340820</v>
      </c>
      <c r="H15" s="10"/>
      <c r="I15" s="8">
        <v>394</v>
      </c>
      <c r="J15" s="6" t="s">
        <v>18</v>
      </c>
      <c r="K15" s="9" t="s">
        <v>0</v>
      </c>
      <c r="L15" s="8">
        <v>357</v>
      </c>
      <c r="M15" s="10">
        <v>2160</v>
      </c>
      <c r="N15" s="10">
        <f t="shared" si="2"/>
        <v>122940</v>
      </c>
    </row>
    <row r="16" spans="1:14" s="11" customFormat="1" ht="21" customHeight="1" x14ac:dyDescent="0.25">
      <c r="A16" s="10"/>
      <c r="B16" s="10"/>
      <c r="C16" s="6" t="s">
        <v>294</v>
      </c>
      <c r="D16" s="9" t="s">
        <v>1</v>
      </c>
      <c r="E16" s="8"/>
      <c r="F16" s="10">
        <v>7810</v>
      </c>
      <c r="G16" s="10">
        <f t="shared" si="1"/>
        <v>344070</v>
      </c>
      <c r="H16" s="10"/>
      <c r="I16" s="8">
        <v>395</v>
      </c>
      <c r="J16" s="6" t="s">
        <v>281</v>
      </c>
      <c r="K16" s="9" t="s">
        <v>0</v>
      </c>
      <c r="L16" s="8">
        <v>344</v>
      </c>
      <c r="M16" s="10">
        <v>13770</v>
      </c>
      <c r="N16" s="10">
        <f t="shared" si="2"/>
        <v>125100</v>
      </c>
    </row>
    <row r="17" spans="1:14" s="11" customFormat="1" ht="21" customHeight="1" x14ac:dyDescent="0.25">
      <c r="A17" s="10"/>
      <c r="B17" s="10"/>
      <c r="C17" s="6" t="s">
        <v>414</v>
      </c>
      <c r="D17" s="9" t="s">
        <v>1</v>
      </c>
      <c r="E17" s="8"/>
      <c r="F17" s="10">
        <v>4460</v>
      </c>
      <c r="G17" s="10">
        <f t="shared" si="1"/>
        <v>351880</v>
      </c>
      <c r="H17" s="10"/>
      <c r="I17" s="8">
        <v>396</v>
      </c>
      <c r="J17" s="6" t="s">
        <v>19</v>
      </c>
      <c r="K17" s="9" t="s">
        <v>0</v>
      </c>
      <c r="L17" s="8">
        <v>348</v>
      </c>
      <c r="M17" s="10">
        <v>7980</v>
      </c>
      <c r="N17" s="10">
        <f t="shared" si="2"/>
        <v>138870</v>
      </c>
    </row>
    <row r="18" spans="1:14" s="11" customFormat="1" ht="21" customHeight="1" x14ac:dyDescent="0.25">
      <c r="A18" s="10"/>
      <c r="B18" s="10"/>
      <c r="C18" s="6" t="s">
        <v>376</v>
      </c>
      <c r="D18" s="9" t="s">
        <v>1</v>
      </c>
      <c r="E18" s="8"/>
      <c r="F18" s="10">
        <v>2750</v>
      </c>
      <c r="G18" s="10">
        <f t="shared" si="1"/>
        <v>356340</v>
      </c>
      <c r="H18" s="10"/>
      <c r="I18" s="8">
        <v>397</v>
      </c>
      <c r="J18" s="6" t="s">
        <v>85</v>
      </c>
      <c r="K18" s="9" t="s">
        <v>0</v>
      </c>
      <c r="L18" s="8">
        <v>365</v>
      </c>
      <c r="M18" s="10">
        <v>35700</v>
      </c>
      <c r="N18" s="10">
        <f t="shared" si="2"/>
        <v>146850</v>
      </c>
    </row>
    <row r="19" spans="1:14" s="11" customFormat="1" ht="21" customHeight="1" x14ac:dyDescent="0.25">
      <c r="A19" s="10"/>
      <c r="B19" s="10"/>
      <c r="C19" s="6" t="s">
        <v>405</v>
      </c>
      <c r="D19" s="9" t="s">
        <v>1</v>
      </c>
      <c r="E19" s="8"/>
      <c r="F19" s="10">
        <v>1360</v>
      </c>
      <c r="G19" s="10">
        <f t="shared" si="1"/>
        <v>359090</v>
      </c>
      <c r="H19" s="10"/>
      <c r="I19" s="8">
        <v>398</v>
      </c>
      <c r="J19" s="6" t="s">
        <v>50</v>
      </c>
      <c r="K19" s="9" t="s">
        <v>0</v>
      </c>
      <c r="L19" s="8">
        <v>345</v>
      </c>
      <c r="M19" s="10">
        <v>3510</v>
      </c>
      <c r="N19" s="10">
        <f t="shared" si="2"/>
        <v>182550</v>
      </c>
    </row>
    <row r="20" spans="1:14" s="11" customFormat="1" ht="21" customHeight="1" x14ac:dyDescent="0.25">
      <c r="A20" s="10"/>
      <c r="B20" s="10"/>
      <c r="C20" s="6" t="s">
        <v>322</v>
      </c>
      <c r="D20" s="9" t="s">
        <v>1</v>
      </c>
      <c r="E20" s="8"/>
      <c r="F20" s="10">
        <v>1650</v>
      </c>
      <c r="G20" s="10">
        <f t="shared" si="1"/>
        <v>360450</v>
      </c>
      <c r="H20" s="10"/>
      <c r="I20" s="8">
        <v>399</v>
      </c>
      <c r="J20" s="6" t="s">
        <v>407</v>
      </c>
      <c r="K20" s="9" t="s">
        <v>0</v>
      </c>
      <c r="L20" s="8">
        <v>355</v>
      </c>
      <c r="M20" s="10">
        <v>44100</v>
      </c>
      <c r="N20" s="10">
        <f t="shared" si="2"/>
        <v>186060</v>
      </c>
    </row>
    <row r="21" spans="1:14" s="11" customFormat="1" ht="21" customHeight="1" x14ac:dyDescent="0.25">
      <c r="A21" s="10"/>
      <c r="B21" s="10"/>
      <c r="C21" s="6" t="s">
        <v>402</v>
      </c>
      <c r="D21" s="9" t="s">
        <v>1</v>
      </c>
      <c r="E21" s="8"/>
      <c r="F21" s="10">
        <v>1130</v>
      </c>
      <c r="G21" s="10">
        <f t="shared" si="1"/>
        <v>362100</v>
      </c>
      <c r="H21" s="10"/>
      <c r="I21" s="8">
        <v>400</v>
      </c>
      <c r="J21" s="6" t="s">
        <v>416</v>
      </c>
      <c r="K21" s="9" t="s">
        <v>0</v>
      </c>
      <c r="L21" s="8">
        <v>363</v>
      </c>
      <c r="M21" s="10">
        <v>220</v>
      </c>
      <c r="N21" s="10">
        <f t="shared" si="2"/>
        <v>230160</v>
      </c>
    </row>
    <row r="22" spans="1:14" s="11" customFormat="1" ht="21" customHeight="1" x14ac:dyDescent="0.25">
      <c r="A22" s="10"/>
      <c r="B22" s="10"/>
      <c r="C22" s="6" t="s">
        <v>111</v>
      </c>
      <c r="D22" s="9" t="s">
        <v>1</v>
      </c>
      <c r="E22" s="8"/>
      <c r="F22" s="10">
        <v>3820</v>
      </c>
      <c r="G22" s="10">
        <f t="shared" si="1"/>
        <v>363230</v>
      </c>
      <c r="H22" s="10"/>
      <c r="I22" s="8">
        <v>401</v>
      </c>
      <c r="J22" s="6" t="s">
        <v>111</v>
      </c>
      <c r="K22" s="9" t="s">
        <v>0</v>
      </c>
      <c r="L22" s="8">
        <v>346</v>
      </c>
      <c r="M22" s="10">
        <v>1800</v>
      </c>
      <c r="N22" s="10">
        <f t="shared" si="2"/>
        <v>230380</v>
      </c>
    </row>
    <row r="23" spans="1:14" s="11" customFormat="1" ht="21" customHeight="1" x14ac:dyDescent="0.25">
      <c r="A23" s="10"/>
      <c r="B23" s="10"/>
      <c r="C23" s="6" t="s">
        <v>331</v>
      </c>
      <c r="D23" s="9" t="s">
        <v>1</v>
      </c>
      <c r="E23" s="8"/>
      <c r="F23" s="10">
        <v>3410</v>
      </c>
      <c r="G23" s="10">
        <f t="shared" si="1"/>
        <v>367050</v>
      </c>
      <c r="H23" s="10"/>
      <c r="I23" s="8">
        <v>402</v>
      </c>
      <c r="J23" s="6" t="s">
        <v>417</v>
      </c>
      <c r="K23" s="9" t="s">
        <v>0</v>
      </c>
      <c r="L23" s="8">
        <v>353</v>
      </c>
      <c r="M23" s="10">
        <v>6490</v>
      </c>
      <c r="N23" s="10">
        <f t="shared" si="2"/>
        <v>232180</v>
      </c>
    </row>
    <row r="24" spans="1:14" s="11" customFormat="1" ht="21" customHeight="1" x14ac:dyDescent="0.25">
      <c r="A24" s="10"/>
      <c r="B24" s="10"/>
      <c r="C24" s="6" t="s">
        <v>50</v>
      </c>
      <c r="D24" s="9" t="s">
        <v>1</v>
      </c>
      <c r="E24" s="8"/>
      <c r="F24" s="10">
        <v>2820</v>
      </c>
      <c r="G24" s="10">
        <f t="shared" si="1"/>
        <v>370460</v>
      </c>
      <c r="H24" s="10"/>
      <c r="I24" s="8">
        <v>403</v>
      </c>
      <c r="J24" s="6" t="s">
        <v>349</v>
      </c>
      <c r="K24" s="9" t="s">
        <v>0</v>
      </c>
      <c r="L24" s="8">
        <v>359</v>
      </c>
      <c r="M24" s="10">
        <v>23020</v>
      </c>
      <c r="N24" s="10">
        <f t="shared" si="2"/>
        <v>238670</v>
      </c>
    </row>
    <row r="25" spans="1:14" s="11" customFormat="1" ht="21" customHeight="1" x14ac:dyDescent="0.25">
      <c r="A25" s="10"/>
      <c r="B25" s="10"/>
      <c r="C25" s="6" t="s">
        <v>83</v>
      </c>
      <c r="D25" s="9" t="s">
        <v>1</v>
      </c>
      <c r="E25" s="8"/>
      <c r="F25" s="10">
        <v>4240</v>
      </c>
      <c r="G25" s="10">
        <f t="shared" si="1"/>
        <v>373280</v>
      </c>
      <c r="H25" s="10"/>
      <c r="I25" s="8">
        <v>404</v>
      </c>
      <c r="J25" s="6" t="s">
        <v>334</v>
      </c>
      <c r="K25" s="9" t="s">
        <v>0</v>
      </c>
      <c r="L25" s="8">
        <v>361</v>
      </c>
      <c r="M25" s="10">
        <v>4900</v>
      </c>
      <c r="N25" s="10">
        <f t="shared" si="2"/>
        <v>261690</v>
      </c>
    </row>
    <row r="26" spans="1:14" s="11" customFormat="1" ht="21" customHeight="1" x14ac:dyDescent="0.25">
      <c r="A26" s="10"/>
      <c r="B26" s="10"/>
      <c r="C26" s="6" t="s">
        <v>290</v>
      </c>
      <c r="D26" s="9" t="s">
        <v>1</v>
      </c>
      <c r="E26" s="8"/>
      <c r="F26" s="10">
        <v>16870</v>
      </c>
      <c r="G26" s="10">
        <f t="shared" si="1"/>
        <v>377520</v>
      </c>
      <c r="H26" s="10"/>
      <c r="I26" s="8">
        <v>405</v>
      </c>
      <c r="J26" s="6" t="s">
        <v>322</v>
      </c>
      <c r="K26" s="9" t="s">
        <v>0</v>
      </c>
      <c r="L26" s="8">
        <v>362</v>
      </c>
      <c r="M26" s="10">
        <v>4140</v>
      </c>
      <c r="N26" s="10">
        <f t="shared" si="2"/>
        <v>266590</v>
      </c>
    </row>
    <row r="27" spans="1:14" s="11" customFormat="1" ht="21" customHeight="1" x14ac:dyDescent="0.25">
      <c r="A27" s="10"/>
      <c r="B27" s="10"/>
      <c r="C27" s="6" t="s">
        <v>404</v>
      </c>
      <c r="D27" s="9" t="s">
        <v>1</v>
      </c>
      <c r="E27" s="8"/>
      <c r="F27" s="10">
        <v>1890</v>
      </c>
      <c r="G27" s="10">
        <f t="shared" si="1"/>
        <v>394390</v>
      </c>
      <c r="H27" s="10"/>
      <c r="I27" s="8">
        <v>406</v>
      </c>
      <c r="J27" s="6" t="s">
        <v>295</v>
      </c>
      <c r="K27" s="9" t="s">
        <v>0</v>
      </c>
      <c r="L27" s="8">
        <v>364</v>
      </c>
      <c r="M27" s="10">
        <v>1140</v>
      </c>
      <c r="N27" s="10">
        <f t="shared" si="2"/>
        <v>270730</v>
      </c>
    </row>
    <row r="28" spans="1:14" s="11" customFormat="1" ht="21" customHeight="1" x14ac:dyDescent="0.25">
      <c r="A28" s="10"/>
      <c r="B28" s="10"/>
      <c r="C28" s="6" t="s">
        <v>372</v>
      </c>
      <c r="D28" s="9" t="s">
        <v>1</v>
      </c>
      <c r="E28" s="8"/>
      <c r="F28" s="10">
        <v>1050</v>
      </c>
      <c r="G28" s="10">
        <f t="shared" si="1"/>
        <v>396280</v>
      </c>
      <c r="H28" s="10"/>
      <c r="I28" s="8">
        <v>407</v>
      </c>
      <c r="J28" s="6" t="s">
        <v>87</v>
      </c>
      <c r="K28" s="9" t="s">
        <v>0</v>
      </c>
      <c r="L28" s="8">
        <v>347</v>
      </c>
      <c r="M28" s="10">
        <v>2270</v>
      </c>
      <c r="N28" s="10">
        <f t="shared" si="2"/>
        <v>271870</v>
      </c>
    </row>
    <row r="29" spans="1:14" s="11" customFormat="1" ht="21" customHeight="1" x14ac:dyDescent="0.25">
      <c r="A29" s="10"/>
      <c r="B29" s="10"/>
      <c r="C29" s="6" t="s">
        <v>106</v>
      </c>
      <c r="D29" s="9" t="s">
        <v>1</v>
      </c>
      <c r="E29" s="8"/>
      <c r="F29" s="10">
        <v>5120</v>
      </c>
      <c r="G29" s="10">
        <f t="shared" si="1"/>
        <v>397330</v>
      </c>
      <c r="H29" s="10"/>
      <c r="I29" s="8">
        <v>408</v>
      </c>
      <c r="J29" s="6" t="s">
        <v>39</v>
      </c>
      <c r="K29" s="9" t="s">
        <v>0</v>
      </c>
      <c r="L29" s="8">
        <v>304</v>
      </c>
      <c r="M29" s="10">
        <v>34990</v>
      </c>
      <c r="N29" s="10">
        <f t="shared" si="2"/>
        <v>274140</v>
      </c>
    </row>
    <row r="30" spans="1:14" s="11" customFormat="1" ht="21" customHeight="1" x14ac:dyDescent="0.25">
      <c r="A30" s="10"/>
      <c r="B30" s="10"/>
      <c r="C30" s="6" t="s">
        <v>281</v>
      </c>
      <c r="D30" s="9" t="s">
        <v>1</v>
      </c>
      <c r="E30" s="8"/>
      <c r="F30" s="10">
        <v>17670</v>
      </c>
      <c r="G30" s="10">
        <f t="shared" si="1"/>
        <v>402450</v>
      </c>
      <c r="H30" s="10"/>
      <c r="I30" s="10"/>
      <c r="J30" s="6" t="s">
        <v>415</v>
      </c>
      <c r="K30" s="9" t="s">
        <v>0</v>
      </c>
      <c r="L30" s="8"/>
      <c r="M30" s="10">
        <v>1300</v>
      </c>
      <c r="N30" s="10">
        <f t="shared" si="2"/>
        <v>309130</v>
      </c>
    </row>
    <row r="31" spans="1:14" s="11" customFormat="1" ht="21" customHeight="1" x14ac:dyDescent="0.25">
      <c r="A31" s="10"/>
      <c r="B31" s="10"/>
      <c r="C31" s="6" t="s">
        <v>86</v>
      </c>
      <c r="D31" s="9" t="s">
        <v>1</v>
      </c>
      <c r="E31" s="8"/>
      <c r="F31" s="10">
        <v>15550</v>
      </c>
      <c r="G31" s="10">
        <f t="shared" si="1"/>
        <v>420120</v>
      </c>
      <c r="H31" s="10"/>
      <c r="I31" s="10"/>
      <c r="J31" s="6" t="s">
        <v>418</v>
      </c>
      <c r="K31" s="9" t="s">
        <v>0</v>
      </c>
      <c r="L31" s="8"/>
      <c r="M31" s="10">
        <v>210</v>
      </c>
      <c r="N31" s="10">
        <f t="shared" si="2"/>
        <v>310430</v>
      </c>
    </row>
    <row r="32" spans="1:14" s="11" customFormat="1" ht="21" customHeight="1" x14ac:dyDescent="0.25">
      <c r="A32" s="10"/>
      <c r="B32" s="10"/>
      <c r="C32" s="6" t="s">
        <v>406</v>
      </c>
      <c r="D32" s="9" t="s">
        <v>1</v>
      </c>
      <c r="E32" s="8"/>
      <c r="F32" s="10">
        <v>240</v>
      </c>
      <c r="G32" s="10">
        <f t="shared" si="1"/>
        <v>435670</v>
      </c>
      <c r="H32" s="10"/>
      <c r="I32" s="10"/>
      <c r="J32" s="31" t="s">
        <v>419</v>
      </c>
      <c r="K32" s="9" t="s">
        <v>0</v>
      </c>
      <c r="L32" s="8"/>
      <c r="M32" s="10"/>
      <c r="N32" s="10">
        <f t="shared" si="2"/>
        <v>310640</v>
      </c>
    </row>
    <row r="33" spans="1:14" s="11" customFormat="1" ht="21" customHeight="1" x14ac:dyDescent="0.25">
      <c r="A33" s="10"/>
      <c r="B33" s="10"/>
      <c r="C33" s="6" t="s">
        <v>39</v>
      </c>
      <c r="D33" s="9" t="s">
        <v>1</v>
      </c>
      <c r="E33" s="8"/>
      <c r="F33" s="10">
        <v>34990</v>
      </c>
      <c r="G33" s="10">
        <f t="shared" si="1"/>
        <v>435910</v>
      </c>
      <c r="H33" s="10"/>
      <c r="I33" s="10"/>
      <c r="J33" s="36" t="s">
        <v>454</v>
      </c>
      <c r="K33" s="9" t="s">
        <v>0</v>
      </c>
      <c r="L33" s="8"/>
      <c r="M33" s="10"/>
      <c r="N33" s="10">
        <f t="shared" si="2"/>
        <v>310640</v>
      </c>
    </row>
    <row r="34" spans="1:14" s="11" customFormat="1" ht="21" customHeight="1" x14ac:dyDescent="0.25">
      <c r="A34" s="10"/>
      <c r="B34" s="10"/>
      <c r="C34" s="6"/>
      <c r="D34" s="9" t="s">
        <v>1</v>
      </c>
      <c r="E34" s="10"/>
      <c r="F34" s="10"/>
      <c r="G34" s="10">
        <f>G33+F33</f>
        <v>470900</v>
      </c>
      <c r="H34" s="10"/>
      <c r="I34" s="10"/>
      <c r="J34" s="31" t="s">
        <v>455</v>
      </c>
      <c r="K34" s="9" t="s">
        <v>0</v>
      </c>
      <c r="L34" s="10"/>
      <c r="M34" s="10"/>
      <c r="N34" s="10">
        <f t="shared" si="2"/>
        <v>310640</v>
      </c>
    </row>
    <row r="35" spans="1:14" s="11" customFormat="1" ht="21" customHeight="1" x14ac:dyDescent="0.25">
      <c r="A35" s="37"/>
      <c r="B35" s="10"/>
      <c r="C35" s="31" t="s">
        <v>421</v>
      </c>
      <c r="D35" s="9"/>
      <c r="E35" s="10"/>
      <c r="F35" s="10"/>
      <c r="G35" s="10">
        <f t="shared" ref="G35:G36" si="3">G34+F34</f>
        <v>470900</v>
      </c>
      <c r="H35" s="37"/>
      <c r="I35" s="37"/>
      <c r="J35" s="39"/>
      <c r="K35" s="9"/>
      <c r="L35" s="10"/>
      <c r="M35" s="10"/>
      <c r="N35" s="10">
        <f t="shared" si="2"/>
        <v>310640</v>
      </c>
    </row>
    <row r="36" spans="1:14" s="11" customFormat="1" ht="21" customHeight="1" x14ac:dyDescent="0.25">
      <c r="A36" s="37"/>
      <c r="B36" s="10"/>
      <c r="C36" s="31" t="s">
        <v>420</v>
      </c>
      <c r="D36" s="9"/>
      <c r="E36" s="10"/>
      <c r="F36" s="10"/>
      <c r="G36" s="10">
        <f t="shared" si="3"/>
        <v>470900</v>
      </c>
      <c r="H36" s="37"/>
      <c r="I36" s="37"/>
      <c r="J36" s="39"/>
      <c r="K36" s="9"/>
      <c r="L36" s="10"/>
      <c r="M36" s="10"/>
      <c r="N36" s="10">
        <f t="shared" si="2"/>
        <v>310640</v>
      </c>
    </row>
    <row r="37" spans="1:14" ht="31.5" customHeight="1" x14ac:dyDescent="0.25">
      <c r="A37" s="46" t="s">
        <v>9</v>
      </c>
      <c r="B37" s="46"/>
      <c r="C37" s="47"/>
      <c r="D37" s="54">
        <f>G34+F34</f>
        <v>470900</v>
      </c>
      <c r="E37" s="54"/>
      <c r="F37" s="54"/>
      <c r="G37" s="54"/>
      <c r="H37" s="48" t="s">
        <v>10</v>
      </c>
      <c r="I37" s="48"/>
      <c r="J37" s="49"/>
      <c r="K37" s="54">
        <f>N34+M34</f>
        <v>310640</v>
      </c>
      <c r="L37" s="54"/>
      <c r="M37" s="54"/>
      <c r="N37" s="54"/>
    </row>
    <row r="38" spans="1:14" ht="30.75" customHeight="1" x14ac:dyDescent="0.25">
      <c r="A38" s="48" t="s">
        <v>10</v>
      </c>
      <c r="B38" s="48"/>
      <c r="C38" s="49"/>
      <c r="D38" s="55">
        <f>K37</f>
        <v>310640</v>
      </c>
      <c r="E38" s="55"/>
      <c r="F38" s="55"/>
      <c r="G38" s="55"/>
      <c r="H38" s="59"/>
      <c r="I38" s="59"/>
      <c r="J38" s="13"/>
      <c r="K38" s="61"/>
      <c r="L38" s="61"/>
      <c r="M38" s="61"/>
      <c r="N38" s="14"/>
    </row>
    <row r="39" spans="1:14" ht="36.75" customHeight="1" x14ac:dyDescent="0.25">
      <c r="A39" s="50" t="s">
        <v>11</v>
      </c>
      <c r="B39" s="50"/>
      <c r="C39" s="51"/>
      <c r="D39" s="63">
        <f>D37-D38</f>
        <v>160260</v>
      </c>
      <c r="E39" s="63"/>
      <c r="F39" s="63"/>
      <c r="G39" s="63"/>
      <c r="H39" s="59"/>
      <c r="I39" s="59"/>
      <c r="J39" s="13"/>
      <c r="K39" s="60"/>
      <c r="L39" s="60"/>
      <c r="M39" s="60"/>
      <c r="N39" s="15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</sheetData>
  <mergeCells count="21">
    <mergeCell ref="A39:C39"/>
    <mergeCell ref="D39:G39"/>
    <mergeCell ref="H39:I39"/>
    <mergeCell ref="K39:M39"/>
    <mergeCell ref="A4:E4"/>
    <mergeCell ref="A37:C37"/>
    <mergeCell ref="D37:G37"/>
    <mergeCell ref="H37:J37"/>
    <mergeCell ref="K37:N37"/>
    <mergeCell ref="A38:C38"/>
    <mergeCell ref="D38:G38"/>
    <mergeCell ref="H38:I38"/>
    <mergeCell ref="K38:M38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N46"/>
  <sheetViews>
    <sheetView view="pageBreakPreview" topLeftCell="D22" zoomScale="115" zoomScaleNormal="145" zoomScaleSheetLayoutView="115" zoomScalePageLayoutView="85" workbookViewId="0">
      <selection activeCell="M31" sqref="M31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145</v>
      </c>
      <c r="D3" s="58" t="s">
        <v>4</v>
      </c>
      <c r="E3" s="58"/>
      <c r="F3" s="17" t="s">
        <v>3</v>
      </c>
      <c r="G3" s="3">
        <v>45585</v>
      </c>
      <c r="H3" s="57" t="s">
        <v>8</v>
      </c>
      <c r="I3" s="57"/>
      <c r="J3" s="18" t="s">
        <v>145</v>
      </c>
      <c r="K3" s="62" t="s">
        <v>5</v>
      </c>
      <c r="L3" s="62"/>
      <c r="M3" s="17" t="s">
        <v>3</v>
      </c>
      <c r="N3" s="3">
        <v>45585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(19)'!D39</f>
        <v>160260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6570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11080</v>
      </c>
      <c r="G5" s="10">
        <f>F4</f>
        <v>160260</v>
      </c>
      <c r="H5" s="8"/>
      <c r="I5" s="8"/>
      <c r="J5" s="31" t="s">
        <v>54</v>
      </c>
      <c r="K5" s="9" t="s">
        <v>0</v>
      </c>
      <c r="L5" s="8"/>
      <c r="M5" s="10">
        <v>1080</v>
      </c>
      <c r="N5" s="10">
        <f>M4</f>
        <v>6570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120</v>
      </c>
      <c r="G6" s="10">
        <f>G5+F5</f>
        <v>171340</v>
      </c>
      <c r="H6" s="8"/>
      <c r="I6" s="8"/>
      <c r="J6" s="31" t="s">
        <v>100</v>
      </c>
      <c r="K6" s="9" t="s">
        <v>0</v>
      </c>
      <c r="L6" s="8"/>
      <c r="M6" s="10">
        <v>750</v>
      </c>
      <c r="N6" s="10">
        <f t="shared" ref="N6" si="0">N5+M5</f>
        <v>7650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120</v>
      </c>
      <c r="G7" s="10">
        <f t="shared" ref="G7:G33" si="1">G6+F6</f>
        <v>171460</v>
      </c>
      <c r="H7" s="8"/>
      <c r="I7" s="8"/>
      <c r="J7" s="6" t="s">
        <v>259</v>
      </c>
      <c r="K7" s="9" t="s">
        <v>0</v>
      </c>
      <c r="L7" s="8"/>
      <c r="M7" s="10">
        <v>750</v>
      </c>
      <c r="N7" s="10">
        <f>N6+M6</f>
        <v>8400</v>
      </c>
    </row>
    <row r="8" spans="1:14" s="11" customFormat="1" ht="21" customHeight="1" x14ac:dyDescent="0.25">
      <c r="A8" s="8"/>
      <c r="B8" s="8"/>
      <c r="C8" s="6" t="s">
        <v>422</v>
      </c>
      <c r="D8" s="9" t="s">
        <v>1</v>
      </c>
      <c r="E8" s="8"/>
      <c r="F8" s="10">
        <v>1280</v>
      </c>
      <c r="G8" s="10">
        <f t="shared" si="1"/>
        <v>171580</v>
      </c>
      <c r="H8" s="8"/>
      <c r="I8" s="8"/>
      <c r="J8" s="6" t="s">
        <v>434</v>
      </c>
      <c r="K8" s="9" t="s">
        <v>0</v>
      </c>
      <c r="L8" s="8"/>
      <c r="M8" s="10">
        <v>1500</v>
      </c>
      <c r="N8" s="10">
        <f t="shared" ref="N8:N34" si="2">N7+M7</f>
        <v>9150</v>
      </c>
    </row>
    <row r="9" spans="1:14" s="11" customFormat="1" ht="21" customHeight="1" x14ac:dyDescent="0.25">
      <c r="A9" s="8"/>
      <c r="B9" s="8"/>
      <c r="C9" s="6" t="s">
        <v>423</v>
      </c>
      <c r="D9" s="9" t="s">
        <v>1</v>
      </c>
      <c r="E9" s="8"/>
      <c r="F9" s="10">
        <v>2290</v>
      </c>
      <c r="G9" s="10">
        <f t="shared" si="1"/>
        <v>172860</v>
      </c>
      <c r="H9" s="8"/>
      <c r="I9" s="8">
        <v>409</v>
      </c>
      <c r="J9" s="6" t="s">
        <v>174</v>
      </c>
      <c r="K9" s="9" t="s">
        <v>0</v>
      </c>
      <c r="L9" s="8">
        <v>373</v>
      </c>
      <c r="M9" s="10">
        <v>46980</v>
      </c>
      <c r="N9" s="10">
        <f t="shared" si="2"/>
        <v>10650</v>
      </c>
    </row>
    <row r="10" spans="1:14" s="11" customFormat="1" ht="21" customHeight="1" x14ac:dyDescent="0.25">
      <c r="A10" s="8"/>
      <c r="B10" s="8"/>
      <c r="C10" s="6" t="s">
        <v>424</v>
      </c>
      <c r="D10" s="9" t="s">
        <v>1</v>
      </c>
      <c r="E10" s="8"/>
      <c r="F10" s="10">
        <v>1470</v>
      </c>
      <c r="G10" s="10">
        <f t="shared" si="1"/>
        <v>175150</v>
      </c>
      <c r="H10" s="8"/>
      <c r="I10" s="8">
        <v>410</v>
      </c>
      <c r="J10" s="6" t="s">
        <v>173</v>
      </c>
      <c r="K10" s="9" t="s">
        <v>0</v>
      </c>
      <c r="L10" s="8">
        <v>380</v>
      </c>
      <c r="M10" s="10">
        <v>7600</v>
      </c>
      <c r="N10" s="10">
        <f t="shared" si="2"/>
        <v>57630</v>
      </c>
    </row>
    <row r="11" spans="1:14" s="11" customFormat="1" ht="21" customHeight="1" x14ac:dyDescent="0.25">
      <c r="A11" s="8"/>
      <c r="B11" s="8"/>
      <c r="C11" s="6" t="s">
        <v>425</v>
      </c>
      <c r="D11" s="9" t="s">
        <v>1</v>
      </c>
      <c r="E11" s="8"/>
      <c r="F11" s="10">
        <v>3790</v>
      </c>
      <c r="G11" s="10">
        <f t="shared" si="1"/>
        <v>176620</v>
      </c>
      <c r="H11" s="8"/>
      <c r="I11" s="8">
        <v>411</v>
      </c>
      <c r="J11" s="6" t="s">
        <v>175</v>
      </c>
      <c r="K11" s="9" t="s">
        <v>0</v>
      </c>
      <c r="L11" s="8">
        <v>381</v>
      </c>
      <c r="M11" s="10">
        <v>10940</v>
      </c>
      <c r="N11" s="10">
        <f t="shared" si="2"/>
        <v>65230</v>
      </c>
    </row>
    <row r="12" spans="1:14" s="11" customFormat="1" ht="21" customHeight="1" x14ac:dyDescent="0.25">
      <c r="A12" s="8"/>
      <c r="B12" s="8"/>
      <c r="C12" s="6" t="s">
        <v>426</v>
      </c>
      <c r="D12" s="9" t="s">
        <v>1</v>
      </c>
      <c r="E12" s="8"/>
      <c r="F12" s="10">
        <v>1300</v>
      </c>
      <c r="G12" s="10">
        <f t="shared" si="1"/>
        <v>180410</v>
      </c>
      <c r="H12" s="8"/>
      <c r="I12" s="8">
        <v>412</v>
      </c>
      <c r="J12" s="6" t="s">
        <v>46</v>
      </c>
      <c r="K12" s="9" t="s">
        <v>0</v>
      </c>
      <c r="L12" s="8">
        <v>372</v>
      </c>
      <c r="M12" s="10">
        <v>8640</v>
      </c>
      <c r="N12" s="10">
        <f t="shared" si="2"/>
        <v>76170</v>
      </c>
    </row>
    <row r="13" spans="1:14" s="11" customFormat="1" ht="21" customHeight="1" x14ac:dyDescent="0.25">
      <c r="A13" s="8"/>
      <c r="B13" s="8"/>
      <c r="C13" s="6" t="s">
        <v>96</v>
      </c>
      <c r="D13" s="9" t="s">
        <v>1</v>
      </c>
      <c r="E13" s="8"/>
      <c r="F13" s="10">
        <v>30000</v>
      </c>
      <c r="G13" s="10">
        <f t="shared" si="1"/>
        <v>181710</v>
      </c>
      <c r="H13" s="8"/>
      <c r="I13" s="8">
        <v>413</v>
      </c>
      <c r="J13" s="6" t="s">
        <v>49</v>
      </c>
      <c r="K13" s="9" t="s">
        <v>0</v>
      </c>
      <c r="L13" s="8">
        <v>377</v>
      </c>
      <c r="M13" s="10">
        <v>25160</v>
      </c>
      <c r="N13" s="10">
        <f t="shared" si="2"/>
        <v>84810</v>
      </c>
    </row>
    <row r="14" spans="1:14" s="11" customFormat="1" ht="21" customHeight="1" x14ac:dyDescent="0.25">
      <c r="A14" s="8"/>
      <c r="B14" s="8"/>
      <c r="C14" s="6" t="s">
        <v>97</v>
      </c>
      <c r="D14" s="9" t="s">
        <v>1</v>
      </c>
      <c r="E14" s="8"/>
      <c r="F14" s="10">
        <v>50000</v>
      </c>
      <c r="G14" s="10">
        <f t="shared" si="1"/>
        <v>211710</v>
      </c>
      <c r="H14" s="8"/>
      <c r="I14" s="8">
        <v>414</v>
      </c>
      <c r="J14" s="6" t="s">
        <v>435</v>
      </c>
      <c r="K14" s="9" t="s">
        <v>0</v>
      </c>
      <c r="L14" s="8">
        <v>378</v>
      </c>
      <c r="M14" s="10">
        <v>3960</v>
      </c>
      <c r="N14" s="10">
        <f t="shared" si="2"/>
        <v>109970</v>
      </c>
    </row>
    <row r="15" spans="1:14" s="11" customFormat="1" ht="21" customHeight="1" x14ac:dyDescent="0.25">
      <c r="A15" s="10"/>
      <c r="B15" s="10"/>
      <c r="C15" s="6" t="s">
        <v>427</v>
      </c>
      <c r="D15" s="9" t="s">
        <v>1</v>
      </c>
      <c r="E15" s="8"/>
      <c r="F15" s="10">
        <v>30000</v>
      </c>
      <c r="G15" s="10">
        <f t="shared" si="1"/>
        <v>261710</v>
      </c>
      <c r="H15" s="10"/>
      <c r="I15" s="8">
        <v>415</v>
      </c>
      <c r="J15" s="6" t="s">
        <v>245</v>
      </c>
      <c r="K15" s="9" t="s">
        <v>0</v>
      </c>
      <c r="L15" s="8">
        <v>389</v>
      </c>
      <c r="M15" s="10">
        <v>49260</v>
      </c>
      <c r="N15" s="10">
        <f t="shared" si="2"/>
        <v>113930</v>
      </c>
    </row>
    <row r="16" spans="1:14" s="11" customFormat="1" ht="21" customHeight="1" x14ac:dyDescent="0.25">
      <c r="A16" s="10"/>
      <c r="B16" s="10"/>
      <c r="C16" s="6" t="s">
        <v>92</v>
      </c>
      <c r="D16" s="9" t="s">
        <v>1</v>
      </c>
      <c r="E16" s="8"/>
      <c r="F16" s="10">
        <v>6210</v>
      </c>
      <c r="G16" s="10">
        <f t="shared" si="1"/>
        <v>291710</v>
      </c>
      <c r="H16" s="10"/>
      <c r="I16" s="8">
        <v>416</v>
      </c>
      <c r="J16" s="6" t="s">
        <v>44</v>
      </c>
      <c r="K16" s="9" t="s">
        <v>0</v>
      </c>
      <c r="L16" s="8">
        <v>388</v>
      </c>
      <c r="M16" s="10">
        <v>8730</v>
      </c>
      <c r="N16" s="10">
        <f t="shared" si="2"/>
        <v>163190</v>
      </c>
    </row>
    <row r="17" spans="1:14" s="11" customFormat="1" ht="21" customHeight="1" x14ac:dyDescent="0.25">
      <c r="A17" s="10"/>
      <c r="B17" s="10"/>
      <c r="C17" s="6" t="s">
        <v>428</v>
      </c>
      <c r="D17" s="9" t="s">
        <v>1</v>
      </c>
      <c r="E17" s="8"/>
      <c r="F17" s="10">
        <v>6490</v>
      </c>
      <c r="G17" s="10">
        <f t="shared" si="1"/>
        <v>297920</v>
      </c>
      <c r="H17" s="10"/>
      <c r="I17" s="8">
        <v>417</v>
      </c>
      <c r="J17" s="6" t="s">
        <v>281</v>
      </c>
      <c r="K17" s="9" t="s">
        <v>0</v>
      </c>
      <c r="L17" s="8">
        <v>384</v>
      </c>
      <c r="M17" s="10">
        <v>2980</v>
      </c>
      <c r="N17" s="10">
        <f t="shared" si="2"/>
        <v>171920</v>
      </c>
    </row>
    <row r="18" spans="1:14" s="11" customFormat="1" ht="21" customHeight="1" x14ac:dyDescent="0.25">
      <c r="A18" s="10"/>
      <c r="B18" s="10"/>
      <c r="C18" s="6" t="s">
        <v>429</v>
      </c>
      <c r="D18" s="9" t="s">
        <v>1</v>
      </c>
      <c r="E18" s="8"/>
      <c r="F18" s="10">
        <v>4140</v>
      </c>
      <c r="G18" s="10">
        <f t="shared" si="1"/>
        <v>304410</v>
      </c>
      <c r="H18" s="10"/>
      <c r="I18" s="8">
        <v>418</v>
      </c>
      <c r="J18" s="6" t="s">
        <v>19</v>
      </c>
      <c r="K18" s="9" t="s">
        <v>0</v>
      </c>
      <c r="L18" s="8">
        <v>386</v>
      </c>
      <c r="M18" s="10">
        <v>6670</v>
      </c>
      <c r="N18" s="10">
        <f t="shared" si="2"/>
        <v>174900</v>
      </c>
    </row>
    <row r="19" spans="1:14" s="11" customFormat="1" ht="21" customHeight="1" x14ac:dyDescent="0.25">
      <c r="A19" s="10"/>
      <c r="B19" s="10"/>
      <c r="C19" s="6" t="s">
        <v>430</v>
      </c>
      <c r="D19" s="9" t="s">
        <v>1</v>
      </c>
      <c r="E19" s="8"/>
      <c r="F19" s="10">
        <v>220</v>
      </c>
      <c r="G19" s="10">
        <f t="shared" si="1"/>
        <v>308550</v>
      </c>
      <c r="H19" s="10"/>
      <c r="I19" s="8">
        <v>419</v>
      </c>
      <c r="J19" s="6" t="s">
        <v>83</v>
      </c>
      <c r="K19" s="9" t="s">
        <v>0</v>
      </c>
      <c r="L19" s="8">
        <v>379</v>
      </c>
      <c r="M19" s="10">
        <v>4710</v>
      </c>
      <c r="N19" s="10">
        <f t="shared" si="2"/>
        <v>181570</v>
      </c>
    </row>
    <row r="20" spans="1:14" s="11" customFormat="1" ht="21" customHeight="1" x14ac:dyDescent="0.25">
      <c r="A20" s="10"/>
      <c r="B20" s="10"/>
      <c r="C20" s="6" t="s">
        <v>431</v>
      </c>
      <c r="D20" s="9" t="s">
        <v>1</v>
      </c>
      <c r="E20" s="8"/>
      <c r="F20" s="10">
        <v>1140</v>
      </c>
      <c r="G20" s="10">
        <f t="shared" si="1"/>
        <v>308770</v>
      </c>
      <c r="H20" s="10"/>
      <c r="I20" s="8">
        <v>420</v>
      </c>
      <c r="J20" s="6" t="s">
        <v>407</v>
      </c>
      <c r="K20" s="9" t="s">
        <v>0</v>
      </c>
      <c r="L20" s="8">
        <v>376</v>
      </c>
      <c r="M20" s="10">
        <v>14970</v>
      </c>
      <c r="N20" s="10">
        <f t="shared" si="2"/>
        <v>186280</v>
      </c>
    </row>
    <row r="21" spans="1:14" s="11" customFormat="1" ht="21" customHeight="1" x14ac:dyDescent="0.25">
      <c r="A21" s="10"/>
      <c r="B21" s="10"/>
      <c r="C21" s="6" t="s">
        <v>432</v>
      </c>
      <c r="D21" s="9" t="s">
        <v>1</v>
      </c>
      <c r="E21" s="8"/>
      <c r="F21" s="10">
        <v>13770</v>
      </c>
      <c r="G21" s="10">
        <f t="shared" si="1"/>
        <v>309910</v>
      </c>
      <c r="H21" s="10"/>
      <c r="I21" s="8">
        <v>421</v>
      </c>
      <c r="J21" s="6" t="s">
        <v>400</v>
      </c>
      <c r="K21" s="9" t="s">
        <v>0</v>
      </c>
      <c r="L21" s="8">
        <v>387</v>
      </c>
      <c r="M21" s="10">
        <v>21670</v>
      </c>
      <c r="N21" s="10">
        <f t="shared" si="2"/>
        <v>201250</v>
      </c>
    </row>
    <row r="22" spans="1:14" s="11" customFormat="1" ht="21" customHeight="1" x14ac:dyDescent="0.25">
      <c r="A22" s="10"/>
      <c r="B22" s="10"/>
      <c r="C22" s="6" t="s">
        <v>433</v>
      </c>
      <c r="D22" s="9" t="s">
        <v>1</v>
      </c>
      <c r="E22" s="8"/>
      <c r="F22" s="10">
        <v>3510</v>
      </c>
      <c r="G22" s="10">
        <f t="shared" si="1"/>
        <v>323680</v>
      </c>
      <c r="H22" s="10"/>
      <c r="I22" s="8">
        <v>422</v>
      </c>
      <c r="J22" s="6" t="s">
        <v>272</v>
      </c>
      <c r="K22" s="9" t="s">
        <v>0</v>
      </c>
      <c r="L22" s="8">
        <v>375</v>
      </c>
      <c r="M22" s="10">
        <v>9010</v>
      </c>
      <c r="N22" s="10">
        <f t="shared" si="2"/>
        <v>222920</v>
      </c>
    </row>
    <row r="23" spans="1:14" s="11" customFormat="1" ht="21" customHeight="1" x14ac:dyDescent="0.25">
      <c r="A23" s="10"/>
      <c r="B23" s="10"/>
      <c r="C23" s="6" t="s">
        <v>95</v>
      </c>
      <c r="D23" s="9" t="s">
        <v>1</v>
      </c>
      <c r="E23" s="8"/>
      <c r="F23" s="10">
        <v>2270</v>
      </c>
      <c r="G23" s="10">
        <f t="shared" si="1"/>
        <v>327190</v>
      </c>
      <c r="H23" s="10"/>
      <c r="I23" s="8">
        <v>423</v>
      </c>
      <c r="J23" s="6" t="s">
        <v>110</v>
      </c>
      <c r="K23" s="9" t="s">
        <v>0</v>
      </c>
      <c r="L23" s="8">
        <v>383</v>
      </c>
      <c r="M23" s="10">
        <v>3640</v>
      </c>
      <c r="N23" s="10">
        <f t="shared" si="2"/>
        <v>231930</v>
      </c>
    </row>
    <row r="24" spans="1:14" s="11" customFormat="1" ht="21" customHeight="1" x14ac:dyDescent="0.25">
      <c r="A24" s="10"/>
      <c r="B24" s="10"/>
      <c r="C24" s="6" t="s">
        <v>94</v>
      </c>
      <c r="D24" s="9" t="s">
        <v>1</v>
      </c>
      <c r="E24" s="8"/>
      <c r="F24" s="10">
        <v>7980</v>
      </c>
      <c r="G24" s="10">
        <f t="shared" si="1"/>
        <v>329460</v>
      </c>
      <c r="H24" s="10"/>
      <c r="I24" s="8">
        <v>424</v>
      </c>
      <c r="J24" s="6" t="s">
        <v>112</v>
      </c>
      <c r="K24" s="9" t="s">
        <v>0</v>
      </c>
      <c r="L24" s="8">
        <v>385</v>
      </c>
      <c r="M24" s="10">
        <v>1980</v>
      </c>
      <c r="N24" s="10">
        <f t="shared" si="2"/>
        <v>235570</v>
      </c>
    </row>
    <row r="25" spans="1:14" s="11" customFormat="1" ht="21" customHeight="1" x14ac:dyDescent="0.25">
      <c r="A25" s="10"/>
      <c r="B25" s="10"/>
      <c r="C25" s="6" t="s">
        <v>39</v>
      </c>
      <c r="D25" s="9" t="s">
        <v>1</v>
      </c>
      <c r="E25" s="8"/>
      <c r="F25" s="10">
        <v>35420</v>
      </c>
      <c r="G25" s="10">
        <f t="shared" si="1"/>
        <v>337440</v>
      </c>
      <c r="H25" s="10"/>
      <c r="I25" s="8">
        <v>425</v>
      </c>
      <c r="J25" s="6" t="s">
        <v>278</v>
      </c>
      <c r="K25" s="9" t="s">
        <v>0</v>
      </c>
      <c r="L25" s="8">
        <v>382</v>
      </c>
      <c r="M25" s="10">
        <v>8060</v>
      </c>
      <c r="N25" s="10">
        <f t="shared" si="2"/>
        <v>237550</v>
      </c>
    </row>
    <row r="26" spans="1:14" s="11" customFormat="1" ht="21" customHeight="1" x14ac:dyDescent="0.25">
      <c r="A26" s="10"/>
      <c r="B26" s="10"/>
      <c r="C26" s="10"/>
      <c r="D26" s="9" t="s">
        <v>1</v>
      </c>
      <c r="E26" s="8"/>
      <c r="F26" s="10"/>
      <c r="G26" s="10">
        <f t="shared" si="1"/>
        <v>372860</v>
      </c>
      <c r="H26" s="10"/>
      <c r="I26" s="8">
        <v>426</v>
      </c>
      <c r="J26" s="6" t="s">
        <v>290</v>
      </c>
      <c r="K26" s="9" t="s">
        <v>0</v>
      </c>
      <c r="L26" s="8">
        <v>374</v>
      </c>
      <c r="M26" s="10">
        <v>7250</v>
      </c>
      <c r="N26" s="10">
        <f t="shared" si="2"/>
        <v>245610</v>
      </c>
    </row>
    <row r="27" spans="1:14" s="11" customFormat="1" ht="21" customHeight="1" x14ac:dyDescent="0.25">
      <c r="A27" s="10"/>
      <c r="B27" s="10"/>
      <c r="C27" s="10"/>
      <c r="D27" s="9" t="s">
        <v>1</v>
      </c>
      <c r="E27" s="8"/>
      <c r="F27" s="10"/>
      <c r="G27" s="10">
        <f t="shared" si="1"/>
        <v>372860</v>
      </c>
      <c r="H27" s="10"/>
      <c r="I27" s="8">
        <v>427</v>
      </c>
      <c r="J27" s="6" t="s">
        <v>39</v>
      </c>
      <c r="K27" s="9" t="s">
        <v>0</v>
      </c>
      <c r="L27" s="8">
        <v>366</v>
      </c>
      <c r="M27" s="10">
        <v>35420</v>
      </c>
      <c r="N27" s="10">
        <f t="shared" si="2"/>
        <v>252860</v>
      </c>
    </row>
    <row r="28" spans="1:14" s="11" customFormat="1" ht="21" customHeight="1" x14ac:dyDescent="0.25">
      <c r="A28" s="10"/>
      <c r="B28" s="10"/>
      <c r="C28" s="10"/>
      <c r="D28" s="9" t="s">
        <v>1</v>
      </c>
      <c r="E28" s="8"/>
      <c r="F28" s="10"/>
      <c r="G28" s="10">
        <f t="shared" si="1"/>
        <v>372860</v>
      </c>
      <c r="H28" s="10"/>
      <c r="I28" s="10"/>
      <c r="J28" s="10"/>
      <c r="K28" s="9" t="s">
        <v>0</v>
      </c>
      <c r="L28" s="8"/>
      <c r="M28" s="10"/>
      <c r="N28" s="10">
        <f t="shared" si="2"/>
        <v>288280</v>
      </c>
    </row>
    <row r="29" spans="1:14" s="11" customFormat="1" ht="21" customHeight="1" x14ac:dyDescent="0.25">
      <c r="A29" s="10"/>
      <c r="B29" s="10"/>
      <c r="C29" s="10"/>
      <c r="D29" s="9" t="s">
        <v>1</v>
      </c>
      <c r="E29" s="8"/>
      <c r="F29" s="10"/>
      <c r="G29" s="10">
        <f t="shared" si="1"/>
        <v>372860</v>
      </c>
      <c r="H29" s="10"/>
      <c r="I29" s="10"/>
      <c r="J29" s="10"/>
      <c r="K29" s="9" t="s">
        <v>0</v>
      </c>
      <c r="L29" s="8"/>
      <c r="M29" s="10"/>
      <c r="N29" s="10">
        <f t="shared" si="2"/>
        <v>288280</v>
      </c>
    </row>
    <row r="30" spans="1:14" s="11" customFormat="1" ht="21" customHeight="1" x14ac:dyDescent="0.25">
      <c r="A30" s="10"/>
      <c r="B30" s="10"/>
      <c r="C30" s="31" t="s">
        <v>421</v>
      </c>
      <c r="D30" s="9" t="s">
        <v>1</v>
      </c>
      <c r="E30" s="8"/>
      <c r="F30" s="10"/>
      <c r="G30" s="10">
        <f t="shared" si="1"/>
        <v>372860</v>
      </c>
      <c r="H30" s="10"/>
      <c r="I30" s="10"/>
      <c r="J30" s="31" t="s">
        <v>456</v>
      </c>
      <c r="K30" s="9" t="s">
        <v>0</v>
      </c>
      <c r="L30" s="8"/>
      <c r="M30" s="10"/>
      <c r="N30" s="10">
        <f t="shared" si="2"/>
        <v>288280</v>
      </c>
    </row>
    <row r="31" spans="1:14" s="11" customFormat="1" ht="21" customHeight="1" x14ac:dyDescent="0.25">
      <c r="A31" s="10"/>
      <c r="B31" s="10"/>
      <c r="C31" s="31" t="s">
        <v>436</v>
      </c>
      <c r="D31" s="9" t="s">
        <v>1</v>
      </c>
      <c r="E31" s="8"/>
      <c r="F31" s="10"/>
      <c r="G31" s="10">
        <f t="shared" si="1"/>
        <v>372860</v>
      </c>
      <c r="H31" s="10"/>
      <c r="I31" s="10"/>
      <c r="J31" s="36" t="s">
        <v>437</v>
      </c>
      <c r="K31" s="9" t="s">
        <v>0</v>
      </c>
      <c r="L31" s="8"/>
      <c r="M31" s="10"/>
      <c r="N31" s="10">
        <f t="shared" si="2"/>
        <v>288280</v>
      </c>
    </row>
    <row r="32" spans="1:14" s="11" customFormat="1" ht="21" customHeight="1" x14ac:dyDescent="0.25">
      <c r="A32" s="10"/>
      <c r="B32" s="10"/>
      <c r="C32" s="10"/>
      <c r="D32" s="9" t="s">
        <v>1</v>
      </c>
      <c r="E32" s="8"/>
      <c r="F32" s="10"/>
      <c r="G32" s="10">
        <f t="shared" si="1"/>
        <v>372860</v>
      </c>
      <c r="H32" s="10"/>
      <c r="I32" s="10"/>
      <c r="J32" s="31" t="s">
        <v>457</v>
      </c>
      <c r="K32" s="9" t="s">
        <v>0</v>
      </c>
      <c r="L32" s="8"/>
      <c r="M32" s="10"/>
      <c r="N32" s="10">
        <f t="shared" si="2"/>
        <v>288280</v>
      </c>
    </row>
    <row r="33" spans="1:14" s="11" customFormat="1" ht="21" customHeight="1" x14ac:dyDescent="0.25">
      <c r="A33" s="10"/>
      <c r="B33" s="10"/>
      <c r="C33" s="10"/>
      <c r="D33" s="9" t="s">
        <v>1</v>
      </c>
      <c r="E33" s="8"/>
      <c r="F33" s="10"/>
      <c r="G33" s="10">
        <f t="shared" si="1"/>
        <v>372860</v>
      </c>
      <c r="H33" s="10"/>
      <c r="I33" s="10"/>
      <c r="J33" s="10"/>
      <c r="K33" s="9" t="s">
        <v>0</v>
      </c>
      <c r="L33" s="8"/>
      <c r="M33" s="10"/>
      <c r="N33" s="10">
        <f t="shared" si="2"/>
        <v>288280</v>
      </c>
    </row>
    <row r="34" spans="1:14" s="11" customFormat="1" ht="21" customHeight="1" x14ac:dyDescent="0.25">
      <c r="A34" s="10"/>
      <c r="B34" s="10"/>
      <c r="C34" s="10"/>
      <c r="D34" s="9" t="s">
        <v>1</v>
      </c>
      <c r="E34" s="10"/>
      <c r="F34" s="10"/>
      <c r="G34" s="10">
        <f>G33+F33</f>
        <v>372860</v>
      </c>
      <c r="H34" s="10"/>
      <c r="I34" s="10"/>
      <c r="J34" s="10"/>
      <c r="K34" s="9" t="s">
        <v>0</v>
      </c>
      <c r="L34" s="10"/>
      <c r="M34" s="10"/>
      <c r="N34" s="10">
        <f t="shared" si="2"/>
        <v>288280</v>
      </c>
    </row>
    <row r="35" spans="1:14" ht="31.5" customHeight="1" x14ac:dyDescent="0.25">
      <c r="A35" s="46" t="s">
        <v>9</v>
      </c>
      <c r="B35" s="46"/>
      <c r="C35" s="47"/>
      <c r="D35" s="54">
        <f>G34+F34</f>
        <v>372860</v>
      </c>
      <c r="E35" s="54"/>
      <c r="F35" s="54"/>
      <c r="G35" s="54"/>
      <c r="H35" s="48" t="s">
        <v>10</v>
      </c>
      <c r="I35" s="48"/>
      <c r="J35" s="49"/>
      <c r="K35" s="54">
        <f>N34+M34</f>
        <v>288280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288280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84580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N46"/>
  <sheetViews>
    <sheetView view="pageBreakPreview" topLeftCell="A22" zoomScale="115" zoomScaleNormal="145" zoomScaleSheetLayoutView="115" zoomScalePageLayoutView="85" workbookViewId="0">
      <selection activeCell="J34" sqref="J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341</v>
      </c>
      <c r="D3" s="58" t="s">
        <v>4</v>
      </c>
      <c r="E3" s="58"/>
      <c r="F3" s="17" t="s">
        <v>3</v>
      </c>
      <c r="G3" s="3">
        <v>45586</v>
      </c>
      <c r="H3" s="57" t="s">
        <v>8</v>
      </c>
      <c r="I3" s="57"/>
      <c r="J3" s="18" t="s">
        <v>341</v>
      </c>
      <c r="K3" s="62" t="s">
        <v>5</v>
      </c>
      <c r="L3" s="62"/>
      <c r="M3" s="17" t="s">
        <v>3</v>
      </c>
      <c r="N3" s="3">
        <v>45586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(20)'!D37</f>
        <v>84580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760</v>
      </c>
      <c r="N4" s="8" t="s">
        <v>2</v>
      </c>
    </row>
    <row r="5" spans="1:14" s="11" customFormat="1" ht="19.5" customHeight="1" x14ac:dyDescent="0.25">
      <c r="A5" s="8"/>
      <c r="B5" s="8"/>
      <c r="C5" s="31" t="s">
        <v>14</v>
      </c>
      <c r="D5" s="9" t="s">
        <v>1</v>
      </c>
      <c r="E5" s="8"/>
      <c r="F5" s="10">
        <v>8560</v>
      </c>
      <c r="G5" s="10">
        <f>F4</f>
        <v>84580</v>
      </c>
      <c r="H5" s="8"/>
      <c r="I5" s="8"/>
      <c r="J5" s="31" t="s">
        <v>54</v>
      </c>
      <c r="K5" s="9" t="s">
        <v>0</v>
      </c>
      <c r="L5" s="8"/>
      <c r="M5" s="10">
        <v>760</v>
      </c>
      <c r="N5" s="10">
        <f>M4</f>
        <v>760</v>
      </c>
    </row>
    <row r="6" spans="1:14" s="11" customFormat="1" ht="19.5" customHeight="1" x14ac:dyDescent="0.25">
      <c r="A6" s="8"/>
      <c r="B6" s="8"/>
      <c r="C6" s="31" t="s">
        <v>16</v>
      </c>
      <c r="D6" s="9" t="s">
        <v>1</v>
      </c>
      <c r="E6" s="8"/>
      <c r="F6" s="10">
        <v>120</v>
      </c>
      <c r="G6" s="10">
        <f>G5+F5</f>
        <v>93140</v>
      </c>
      <c r="H6" s="8"/>
      <c r="I6" s="8"/>
      <c r="J6" s="31" t="s">
        <v>100</v>
      </c>
      <c r="K6" s="9" t="s">
        <v>0</v>
      </c>
      <c r="L6" s="8"/>
      <c r="M6" s="10">
        <v>730</v>
      </c>
      <c r="N6" s="10">
        <f t="shared" ref="N6" si="0">N5+M5</f>
        <v>1520</v>
      </c>
    </row>
    <row r="7" spans="1:14" s="11" customFormat="1" ht="19.5" customHeight="1" x14ac:dyDescent="0.25">
      <c r="A7" s="8"/>
      <c r="B7" s="8"/>
      <c r="C7" s="31" t="s">
        <v>15</v>
      </c>
      <c r="D7" s="9" t="s">
        <v>1</v>
      </c>
      <c r="E7" s="8"/>
      <c r="F7" s="10">
        <v>120</v>
      </c>
      <c r="G7" s="10">
        <f t="shared" ref="G7:G33" si="1">G6+F6</f>
        <v>93260</v>
      </c>
      <c r="H7" s="8"/>
      <c r="I7" s="8">
        <v>428</v>
      </c>
      <c r="J7" s="6" t="s">
        <v>174</v>
      </c>
      <c r="K7" s="9" t="s">
        <v>0</v>
      </c>
      <c r="L7" s="8">
        <v>396</v>
      </c>
      <c r="M7" s="10">
        <v>9240</v>
      </c>
      <c r="N7" s="10">
        <f>N6+M6</f>
        <v>2250</v>
      </c>
    </row>
    <row r="8" spans="1:14" s="11" customFormat="1" ht="19.5" customHeight="1" x14ac:dyDescent="0.25">
      <c r="A8" s="8"/>
      <c r="B8" s="8"/>
      <c r="C8" s="6" t="s">
        <v>174</v>
      </c>
      <c r="D8" s="9" t="s">
        <v>1</v>
      </c>
      <c r="E8" s="8"/>
      <c r="F8" s="10">
        <v>10740</v>
      </c>
      <c r="G8" s="10">
        <f t="shared" si="1"/>
        <v>93380</v>
      </c>
      <c r="H8" s="8"/>
      <c r="I8" s="8">
        <v>429</v>
      </c>
      <c r="J8" s="6" t="s">
        <v>173</v>
      </c>
      <c r="K8" s="9" t="s">
        <v>0</v>
      </c>
      <c r="L8" s="8">
        <v>509</v>
      </c>
      <c r="M8" s="10">
        <v>19020</v>
      </c>
      <c r="N8" s="10">
        <f t="shared" ref="N8:N34" si="2">N7+M7</f>
        <v>11490</v>
      </c>
    </row>
    <row r="9" spans="1:14" s="11" customFormat="1" ht="19.5" customHeight="1" x14ac:dyDescent="0.25">
      <c r="A9" s="8"/>
      <c r="B9" s="8"/>
      <c r="C9" s="6" t="s">
        <v>173</v>
      </c>
      <c r="D9" s="9" t="s">
        <v>1</v>
      </c>
      <c r="E9" s="8"/>
      <c r="F9" s="10">
        <v>80000</v>
      </c>
      <c r="G9" s="10">
        <f t="shared" si="1"/>
        <v>104120</v>
      </c>
      <c r="H9" s="8"/>
      <c r="I9" s="8">
        <v>430</v>
      </c>
      <c r="J9" s="6" t="s">
        <v>43</v>
      </c>
      <c r="K9" s="9" t="s">
        <v>0</v>
      </c>
      <c r="L9" s="8">
        <v>395</v>
      </c>
      <c r="M9" s="10">
        <v>32650</v>
      </c>
      <c r="N9" s="10">
        <f t="shared" si="2"/>
        <v>30510</v>
      </c>
    </row>
    <row r="10" spans="1:14" s="11" customFormat="1" ht="19.5" customHeight="1" x14ac:dyDescent="0.25">
      <c r="A10" s="8"/>
      <c r="B10" s="8"/>
      <c r="C10" s="6" t="s">
        <v>175</v>
      </c>
      <c r="D10" s="9" t="s">
        <v>1</v>
      </c>
      <c r="E10" s="8"/>
      <c r="F10" s="10">
        <v>39510</v>
      </c>
      <c r="G10" s="10">
        <f t="shared" si="1"/>
        <v>184120</v>
      </c>
      <c r="H10" s="8"/>
      <c r="I10" s="8">
        <v>431</v>
      </c>
      <c r="J10" s="6" t="s">
        <v>46</v>
      </c>
      <c r="K10" s="9" t="s">
        <v>0</v>
      </c>
      <c r="L10" s="8">
        <v>507</v>
      </c>
      <c r="M10" s="10">
        <v>10000</v>
      </c>
      <c r="N10" s="10">
        <f t="shared" si="2"/>
        <v>63160</v>
      </c>
    </row>
    <row r="11" spans="1:14" s="11" customFormat="1" ht="19.5" customHeight="1" x14ac:dyDescent="0.25">
      <c r="A11" s="8"/>
      <c r="B11" s="8"/>
      <c r="C11" s="6" t="s">
        <v>46</v>
      </c>
      <c r="D11" s="9" t="s">
        <v>1</v>
      </c>
      <c r="E11" s="8"/>
      <c r="F11" s="10">
        <v>15000</v>
      </c>
      <c r="G11" s="10">
        <f t="shared" si="1"/>
        <v>223630</v>
      </c>
      <c r="H11" s="8"/>
      <c r="I11" s="8">
        <v>432</v>
      </c>
      <c r="J11" s="6" t="s">
        <v>49</v>
      </c>
      <c r="K11" s="9" t="s">
        <v>0</v>
      </c>
      <c r="L11" s="8">
        <v>508</v>
      </c>
      <c r="M11" s="10">
        <v>18750</v>
      </c>
      <c r="N11" s="10">
        <f t="shared" si="2"/>
        <v>73160</v>
      </c>
    </row>
    <row r="12" spans="1:14" s="11" customFormat="1" ht="19.5" customHeight="1" x14ac:dyDescent="0.25">
      <c r="A12" s="8"/>
      <c r="B12" s="8"/>
      <c r="C12" s="6" t="s">
        <v>320</v>
      </c>
      <c r="D12" s="9" t="s">
        <v>1</v>
      </c>
      <c r="E12" s="8"/>
      <c r="F12" s="10">
        <v>50000</v>
      </c>
      <c r="G12" s="10">
        <f t="shared" si="1"/>
        <v>238630</v>
      </c>
      <c r="H12" s="8"/>
      <c r="I12" s="8">
        <v>433</v>
      </c>
      <c r="J12" s="6" t="s">
        <v>441</v>
      </c>
      <c r="K12" s="9" t="s">
        <v>0</v>
      </c>
      <c r="L12" s="8">
        <v>501</v>
      </c>
      <c r="M12" s="10">
        <v>7330</v>
      </c>
      <c r="N12" s="10">
        <f t="shared" si="2"/>
        <v>91910</v>
      </c>
    </row>
    <row r="13" spans="1:14" s="11" customFormat="1" ht="19.5" customHeight="1" x14ac:dyDescent="0.25">
      <c r="A13" s="8"/>
      <c r="B13" s="8"/>
      <c r="C13" s="6" t="s">
        <v>245</v>
      </c>
      <c r="D13" s="9" t="s">
        <v>1</v>
      </c>
      <c r="E13" s="8"/>
      <c r="F13" s="10">
        <v>50000</v>
      </c>
      <c r="G13" s="10">
        <f t="shared" si="1"/>
        <v>288630</v>
      </c>
      <c r="H13" s="8"/>
      <c r="I13" s="8">
        <v>434</v>
      </c>
      <c r="J13" s="6" t="s">
        <v>320</v>
      </c>
      <c r="K13" s="9" t="s">
        <v>0</v>
      </c>
      <c r="L13" s="8">
        <v>510</v>
      </c>
      <c r="M13" s="10">
        <v>2780</v>
      </c>
      <c r="N13" s="10">
        <f t="shared" si="2"/>
        <v>99240</v>
      </c>
    </row>
    <row r="14" spans="1:14" s="11" customFormat="1" ht="19.5" customHeight="1" x14ac:dyDescent="0.25">
      <c r="A14" s="8"/>
      <c r="B14" s="8"/>
      <c r="C14" s="6" t="s">
        <v>400</v>
      </c>
      <c r="D14" s="9" t="s">
        <v>1</v>
      </c>
      <c r="E14" s="8"/>
      <c r="F14" s="10">
        <v>5000</v>
      </c>
      <c r="G14" s="10">
        <f t="shared" si="1"/>
        <v>338630</v>
      </c>
      <c r="H14" s="8"/>
      <c r="I14" s="8">
        <v>435</v>
      </c>
      <c r="J14" s="6" t="s">
        <v>245</v>
      </c>
      <c r="K14" s="9" t="s">
        <v>0</v>
      </c>
      <c r="L14" s="8">
        <v>392</v>
      </c>
      <c r="M14" s="10">
        <v>24120</v>
      </c>
      <c r="N14" s="10">
        <f t="shared" si="2"/>
        <v>102020</v>
      </c>
    </row>
    <row r="15" spans="1:14" s="11" customFormat="1" ht="19.5" customHeight="1" x14ac:dyDescent="0.25">
      <c r="A15" s="10"/>
      <c r="B15" s="10"/>
      <c r="C15" s="6" t="s">
        <v>85</v>
      </c>
      <c r="D15" s="9" t="s">
        <v>1</v>
      </c>
      <c r="E15" s="8"/>
      <c r="F15" s="10">
        <v>43000</v>
      </c>
      <c r="G15" s="10">
        <f t="shared" si="1"/>
        <v>343630</v>
      </c>
      <c r="H15" s="10"/>
      <c r="I15" s="8">
        <v>436</v>
      </c>
      <c r="J15" s="6" t="s">
        <v>281</v>
      </c>
      <c r="K15" s="9" t="s">
        <v>0</v>
      </c>
      <c r="L15" s="8">
        <v>502</v>
      </c>
      <c r="M15" s="10">
        <v>1890</v>
      </c>
      <c r="N15" s="10">
        <f t="shared" si="2"/>
        <v>126140</v>
      </c>
    </row>
    <row r="16" spans="1:14" s="11" customFormat="1" ht="19.5" customHeight="1" x14ac:dyDescent="0.25">
      <c r="A16" s="10"/>
      <c r="B16" s="10"/>
      <c r="C16" s="6" t="s">
        <v>328</v>
      </c>
      <c r="D16" s="9" t="s">
        <v>1</v>
      </c>
      <c r="E16" s="8"/>
      <c r="F16" s="10">
        <v>5000</v>
      </c>
      <c r="G16" s="10">
        <f t="shared" si="1"/>
        <v>386630</v>
      </c>
      <c r="H16" s="10"/>
      <c r="I16" s="8">
        <v>437</v>
      </c>
      <c r="J16" s="6" t="s">
        <v>169</v>
      </c>
      <c r="K16" s="9" t="s">
        <v>0</v>
      </c>
      <c r="L16" s="8">
        <v>512</v>
      </c>
      <c r="M16" s="10">
        <v>7840</v>
      </c>
      <c r="N16" s="10">
        <f t="shared" si="2"/>
        <v>128030</v>
      </c>
    </row>
    <row r="17" spans="1:14" s="11" customFormat="1" ht="19.5" customHeight="1" x14ac:dyDescent="0.25">
      <c r="A17" s="10"/>
      <c r="B17" s="10"/>
      <c r="C17" s="6" t="s">
        <v>438</v>
      </c>
      <c r="D17" s="9" t="s">
        <v>1</v>
      </c>
      <c r="E17" s="8"/>
      <c r="F17" s="10">
        <v>2770</v>
      </c>
      <c r="G17" s="10">
        <f t="shared" si="1"/>
        <v>391630</v>
      </c>
      <c r="H17" s="10"/>
      <c r="I17" s="8">
        <v>438</v>
      </c>
      <c r="J17" s="6" t="s">
        <v>19</v>
      </c>
      <c r="K17" s="9" t="s">
        <v>0</v>
      </c>
      <c r="L17" s="8">
        <v>399</v>
      </c>
      <c r="M17" s="10">
        <v>2480</v>
      </c>
      <c r="N17" s="10">
        <f t="shared" si="2"/>
        <v>135870</v>
      </c>
    </row>
    <row r="18" spans="1:14" s="11" customFormat="1" ht="19.5" customHeight="1" x14ac:dyDescent="0.25">
      <c r="A18" s="10"/>
      <c r="B18" s="10"/>
      <c r="C18" s="6" t="s">
        <v>276</v>
      </c>
      <c r="D18" s="9" t="s">
        <v>1</v>
      </c>
      <c r="E18" s="33"/>
      <c r="F18" s="10">
        <v>900</v>
      </c>
      <c r="G18" s="10">
        <f t="shared" si="1"/>
        <v>394400</v>
      </c>
      <c r="H18" s="10"/>
      <c r="I18" s="8">
        <v>439</v>
      </c>
      <c r="J18" s="6" t="s">
        <v>106</v>
      </c>
      <c r="K18" s="9" t="s">
        <v>0</v>
      </c>
      <c r="L18" s="8">
        <v>397</v>
      </c>
      <c r="M18" s="10">
        <v>3510</v>
      </c>
      <c r="N18" s="10">
        <f t="shared" si="2"/>
        <v>138350</v>
      </c>
    </row>
    <row r="19" spans="1:14" s="11" customFormat="1" ht="19.5" customHeight="1" x14ac:dyDescent="0.25">
      <c r="A19" s="10"/>
      <c r="B19" s="10"/>
      <c r="C19" s="6" t="s">
        <v>407</v>
      </c>
      <c r="D19" s="9" t="s">
        <v>1</v>
      </c>
      <c r="E19" s="8"/>
      <c r="F19" s="10">
        <v>10480</v>
      </c>
      <c r="G19" s="10">
        <f t="shared" si="1"/>
        <v>395300</v>
      </c>
      <c r="H19" s="10"/>
      <c r="I19" s="8">
        <v>440</v>
      </c>
      <c r="J19" s="6" t="s">
        <v>110</v>
      </c>
      <c r="K19" s="9" t="s">
        <v>0</v>
      </c>
      <c r="L19" s="8">
        <v>391</v>
      </c>
      <c r="M19" s="10">
        <v>3860</v>
      </c>
      <c r="N19" s="10">
        <f t="shared" si="2"/>
        <v>141860</v>
      </c>
    </row>
    <row r="20" spans="1:14" s="11" customFormat="1" ht="19.5" customHeight="1" x14ac:dyDescent="0.25">
      <c r="A20" s="10"/>
      <c r="B20" s="10"/>
      <c r="C20" s="6" t="s">
        <v>349</v>
      </c>
      <c r="D20" s="9" t="s">
        <v>1</v>
      </c>
      <c r="E20" s="8"/>
      <c r="F20" s="10">
        <v>23020</v>
      </c>
      <c r="G20" s="10">
        <f t="shared" si="1"/>
        <v>405780</v>
      </c>
      <c r="H20" s="10"/>
      <c r="I20" s="8">
        <v>441</v>
      </c>
      <c r="J20" s="6" t="s">
        <v>111</v>
      </c>
      <c r="K20" s="9" t="s">
        <v>0</v>
      </c>
      <c r="L20" s="8">
        <v>390</v>
      </c>
      <c r="M20" s="10">
        <v>3860</v>
      </c>
      <c r="N20" s="10">
        <f t="shared" si="2"/>
        <v>145720</v>
      </c>
    </row>
    <row r="21" spans="1:14" s="11" customFormat="1" ht="19.5" customHeight="1" x14ac:dyDescent="0.25">
      <c r="A21" s="10"/>
      <c r="B21" s="10"/>
      <c r="C21" s="6" t="s">
        <v>334</v>
      </c>
      <c r="D21" s="9" t="s">
        <v>1</v>
      </c>
      <c r="E21" s="8"/>
      <c r="F21" s="10">
        <v>4900</v>
      </c>
      <c r="G21" s="10">
        <f t="shared" si="1"/>
        <v>428800</v>
      </c>
      <c r="H21" s="10"/>
      <c r="I21" s="8">
        <v>442</v>
      </c>
      <c r="J21" s="6" t="s">
        <v>272</v>
      </c>
      <c r="K21" s="9" t="s">
        <v>0</v>
      </c>
      <c r="L21" s="8">
        <v>506</v>
      </c>
      <c r="M21" s="10">
        <v>2190</v>
      </c>
      <c r="N21" s="10">
        <f t="shared" si="2"/>
        <v>149580</v>
      </c>
    </row>
    <row r="22" spans="1:14" s="11" customFormat="1" ht="19.5" customHeight="1" x14ac:dyDescent="0.25">
      <c r="A22" s="10"/>
      <c r="B22" s="10"/>
      <c r="C22" s="6" t="s">
        <v>111</v>
      </c>
      <c r="D22" s="9" t="s">
        <v>1</v>
      </c>
      <c r="E22" s="8"/>
      <c r="F22" s="10">
        <v>1800</v>
      </c>
      <c r="G22" s="10">
        <f t="shared" si="1"/>
        <v>433700</v>
      </c>
      <c r="H22" s="10"/>
      <c r="I22" s="8">
        <v>443</v>
      </c>
      <c r="J22" s="6" t="s">
        <v>199</v>
      </c>
      <c r="K22" s="9" t="s">
        <v>0</v>
      </c>
      <c r="L22" s="8">
        <v>505</v>
      </c>
      <c r="M22" s="10">
        <v>2700</v>
      </c>
      <c r="N22" s="10">
        <f t="shared" si="2"/>
        <v>151770</v>
      </c>
    </row>
    <row r="23" spans="1:14" s="11" customFormat="1" ht="19.5" customHeight="1" x14ac:dyDescent="0.25">
      <c r="A23" s="10"/>
      <c r="B23" s="10"/>
      <c r="C23" s="6" t="s">
        <v>272</v>
      </c>
      <c r="D23" s="9" t="s">
        <v>1</v>
      </c>
      <c r="E23" s="8"/>
      <c r="F23" s="10">
        <v>9010</v>
      </c>
      <c r="G23" s="10">
        <f t="shared" si="1"/>
        <v>435500</v>
      </c>
      <c r="H23" s="10"/>
      <c r="I23" s="8">
        <v>444</v>
      </c>
      <c r="J23" s="6" t="s">
        <v>40</v>
      </c>
      <c r="K23" s="9" t="s">
        <v>0</v>
      </c>
      <c r="L23" s="8">
        <v>504</v>
      </c>
      <c r="M23" s="10">
        <v>3900</v>
      </c>
      <c r="N23" s="10">
        <f t="shared" si="2"/>
        <v>154470</v>
      </c>
    </row>
    <row r="24" spans="1:14" s="11" customFormat="1" ht="19.5" customHeight="1" x14ac:dyDescent="0.25">
      <c r="A24" s="10"/>
      <c r="B24" s="10"/>
      <c r="C24" s="6" t="s">
        <v>19</v>
      </c>
      <c r="D24" s="9" t="s">
        <v>1</v>
      </c>
      <c r="E24" s="8"/>
      <c r="F24" s="10">
        <v>6670</v>
      </c>
      <c r="G24" s="10">
        <f t="shared" si="1"/>
        <v>444510</v>
      </c>
      <c r="H24" s="10"/>
      <c r="I24" s="8">
        <v>445</v>
      </c>
      <c r="J24" s="6" t="s">
        <v>442</v>
      </c>
      <c r="K24" s="9" t="s">
        <v>0</v>
      </c>
      <c r="L24" s="8">
        <v>503</v>
      </c>
      <c r="M24" s="10">
        <v>3000</v>
      </c>
      <c r="N24" s="10">
        <f t="shared" si="2"/>
        <v>158370</v>
      </c>
    </row>
    <row r="25" spans="1:14" s="11" customFormat="1" ht="19.5" customHeight="1" x14ac:dyDescent="0.25">
      <c r="A25" s="10"/>
      <c r="B25" s="10"/>
      <c r="C25" s="6" t="s">
        <v>112</v>
      </c>
      <c r="D25" s="9" t="s">
        <v>1</v>
      </c>
      <c r="E25" s="8"/>
      <c r="F25" s="10">
        <v>1980</v>
      </c>
      <c r="G25" s="10">
        <f t="shared" si="1"/>
        <v>451180</v>
      </c>
      <c r="H25" s="10"/>
      <c r="I25" s="8">
        <v>446</v>
      </c>
      <c r="J25" s="6" t="s">
        <v>443</v>
      </c>
      <c r="K25" s="9" t="s">
        <v>0</v>
      </c>
      <c r="L25" s="8">
        <v>513</v>
      </c>
      <c r="M25" s="10">
        <v>500</v>
      </c>
      <c r="N25" s="10">
        <f t="shared" si="2"/>
        <v>161370</v>
      </c>
    </row>
    <row r="26" spans="1:14" s="11" customFormat="1" ht="19.5" customHeight="1" x14ac:dyDescent="0.25">
      <c r="A26" s="10"/>
      <c r="B26" s="10"/>
      <c r="C26" s="6" t="s">
        <v>110</v>
      </c>
      <c r="D26" s="9" t="s">
        <v>1</v>
      </c>
      <c r="E26" s="8"/>
      <c r="F26" s="10">
        <v>3640</v>
      </c>
      <c r="G26" s="10">
        <f t="shared" si="1"/>
        <v>453160</v>
      </c>
      <c r="H26" s="10"/>
      <c r="I26" s="8">
        <v>447</v>
      </c>
      <c r="J26" s="6" t="s">
        <v>290</v>
      </c>
      <c r="K26" s="9" t="s">
        <v>0</v>
      </c>
      <c r="L26" s="8">
        <v>511</v>
      </c>
      <c r="M26" s="10">
        <v>19200</v>
      </c>
      <c r="N26" s="10">
        <f t="shared" si="2"/>
        <v>161870</v>
      </c>
    </row>
    <row r="27" spans="1:14" s="11" customFormat="1" ht="19.5" customHeight="1" x14ac:dyDescent="0.25">
      <c r="A27" s="10"/>
      <c r="B27" s="10"/>
      <c r="C27" s="6" t="s">
        <v>439</v>
      </c>
      <c r="D27" s="9" t="s">
        <v>1</v>
      </c>
      <c r="E27" s="8"/>
      <c r="F27" s="10">
        <v>8060</v>
      </c>
      <c r="G27" s="10">
        <f t="shared" si="1"/>
        <v>456800</v>
      </c>
      <c r="H27" s="10"/>
      <c r="I27" s="8">
        <v>448</v>
      </c>
      <c r="J27" s="6" t="s">
        <v>39</v>
      </c>
      <c r="K27" s="9" t="s">
        <v>0</v>
      </c>
      <c r="L27" s="8">
        <v>388</v>
      </c>
      <c r="M27" s="10">
        <v>35340</v>
      </c>
      <c r="N27" s="10">
        <f t="shared" si="2"/>
        <v>181070</v>
      </c>
    </row>
    <row r="28" spans="1:14" s="11" customFormat="1" ht="19.5" customHeight="1" x14ac:dyDescent="0.25">
      <c r="A28" s="10"/>
      <c r="B28" s="10"/>
      <c r="C28" s="6" t="s">
        <v>83</v>
      </c>
      <c r="D28" s="9" t="s">
        <v>1</v>
      </c>
      <c r="E28" s="8"/>
      <c r="F28" s="10">
        <v>4710</v>
      </c>
      <c r="G28" s="10">
        <f t="shared" si="1"/>
        <v>464860</v>
      </c>
      <c r="H28" s="10"/>
      <c r="I28" s="10"/>
      <c r="J28" s="10"/>
      <c r="K28" s="9" t="s">
        <v>0</v>
      </c>
      <c r="L28" s="8"/>
      <c r="M28" s="10"/>
      <c r="N28" s="10">
        <f t="shared" si="2"/>
        <v>216410</v>
      </c>
    </row>
    <row r="29" spans="1:14" s="11" customFormat="1" ht="19.5" customHeight="1" x14ac:dyDescent="0.25">
      <c r="A29" s="10"/>
      <c r="B29" s="10"/>
      <c r="C29" s="6" t="s">
        <v>440</v>
      </c>
      <c r="D29" s="9" t="s">
        <v>1</v>
      </c>
      <c r="E29" s="8"/>
      <c r="F29" s="10">
        <v>3960</v>
      </c>
      <c r="G29" s="10">
        <f t="shared" si="1"/>
        <v>469570</v>
      </c>
      <c r="H29" s="10"/>
      <c r="I29" s="10"/>
      <c r="J29" s="10"/>
      <c r="K29" s="9" t="s">
        <v>0</v>
      </c>
      <c r="L29" s="8"/>
      <c r="M29" s="10"/>
      <c r="N29" s="22">
        <f t="shared" si="2"/>
        <v>216410</v>
      </c>
    </row>
    <row r="30" spans="1:14" s="11" customFormat="1" ht="19.5" customHeight="1" x14ac:dyDescent="0.25">
      <c r="A30" s="10"/>
      <c r="B30" s="10"/>
      <c r="C30" s="6" t="s">
        <v>290</v>
      </c>
      <c r="D30" s="9" t="s">
        <v>1</v>
      </c>
      <c r="E30" s="8"/>
      <c r="F30" s="10">
        <v>7000</v>
      </c>
      <c r="G30" s="10">
        <f t="shared" si="1"/>
        <v>473530</v>
      </c>
      <c r="H30" s="10"/>
      <c r="I30" s="10"/>
      <c r="J30" s="10"/>
      <c r="K30" s="9" t="s">
        <v>0</v>
      </c>
      <c r="L30" s="8"/>
      <c r="M30" s="10"/>
      <c r="N30" s="22">
        <f t="shared" si="2"/>
        <v>216410</v>
      </c>
    </row>
    <row r="31" spans="1:14" s="11" customFormat="1" ht="19.5" customHeight="1" x14ac:dyDescent="0.25">
      <c r="A31" s="10"/>
      <c r="B31" s="10"/>
      <c r="C31" s="6" t="s">
        <v>39</v>
      </c>
      <c r="D31" s="9" t="s">
        <v>1</v>
      </c>
      <c r="E31" s="8"/>
      <c r="F31" s="10">
        <v>35340</v>
      </c>
      <c r="G31" s="10">
        <f t="shared" si="1"/>
        <v>480530</v>
      </c>
      <c r="H31" s="10"/>
      <c r="I31" s="10"/>
      <c r="J31" s="31" t="s">
        <v>458</v>
      </c>
      <c r="K31" s="9" t="s">
        <v>0</v>
      </c>
      <c r="L31" s="8"/>
      <c r="M31" s="10"/>
      <c r="N31" s="22">
        <f t="shared" si="2"/>
        <v>216410</v>
      </c>
    </row>
    <row r="32" spans="1:14" s="11" customFormat="1" ht="19.5" customHeight="1" x14ac:dyDescent="0.25">
      <c r="A32" s="10"/>
      <c r="B32" s="10"/>
      <c r="C32" s="6"/>
      <c r="D32" s="9" t="s">
        <v>1</v>
      </c>
      <c r="E32" s="8"/>
      <c r="F32" s="10"/>
      <c r="G32" s="10">
        <f t="shared" si="1"/>
        <v>515870</v>
      </c>
      <c r="H32" s="10"/>
      <c r="I32" s="10"/>
      <c r="J32" s="36" t="s">
        <v>446</v>
      </c>
      <c r="K32" s="9" t="s">
        <v>0</v>
      </c>
      <c r="L32" s="8"/>
      <c r="M32" s="10"/>
      <c r="N32" s="22">
        <f t="shared" si="2"/>
        <v>216410</v>
      </c>
    </row>
    <row r="33" spans="1:14" s="11" customFormat="1" ht="19.5" customHeight="1" x14ac:dyDescent="0.25">
      <c r="A33" s="10"/>
      <c r="B33" s="10"/>
      <c r="C33" s="31" t="s">
        <v>445</v>
      </c>
      <c r="D33" s="9" t="s">
        <v>1</v>
      </c>
      <c r="E33" s="8"/>
      <c r="F33" s="10"/>
      <c r="G33" s="10">
        <f t="shared" si="1"/>
        <v>515870</v>
      </c>
      <c r="H33" s="10"/>
      <c r="I33" s="10"/>
      <c r="J33" s="31" t="s">
        <v>459</v>
      </c>
      <c r="K33" s="9" t="s">
        <v>0</v>
      </c>
      <c r="L33" s="8"/>
      <c r="M33" s="10"/>
      <c r="N33" s="22">
        <f t="shared" si="2"/>
        <v>216410</v>
      </c>
    </row>
    <row r="34" spans="1:14" s="11" customFormat="1" ht="19.5" customHeight="1" x14ac:dyDescent="0.25">
      <c r="A34" s="10"/>
      <c r="B34" s="10"/>
      <c r="C34" s="31" t="s">
        <v>444</v>
      </c>
      <c r="D34" s="9" t="s">
        <v>1</v>
      </c>
      <c r="E34" s="10"/>
      <c r="F34" s="10"/>
      <c r="G34" s="10">
        <f>G33+F33</f>
        <v>515870</v>
      </c>
      <c r="H34" s="10"/>
      <c r="I34" s="10"/>
      <c r="J34" s="10"/>
      <c r="K34" s="9" t="s">
        <v>0</v>
      </c>
      <c r="L34" s="10"/>
      <c r="M34" s="10"/>
      <c r="N34" s="22">
        <f t="shared" si="2"/>
        <v>216410</v>
      </c>
    </row>
    <row r="35" spans="1:14" ht="31.5" customHeight="1" x14ac:dyDescent="0.25">
      <c r="A35" s="46" t="s">
        <v>9</v>
      </c>
      <c r="B35" s="46"/>
      <c r="C35" s="47"/>
      <c r="D35" s="54">
        <f>G34+F34</f>
        <v>515870</v>
      </c>
      <c r="E35" s="54"/>
      <c r="F35" s="54"/>
      <c r="G35" s="54"/>
      <c r="H35" s="48" t="s">
        <v>10</v>
      </c>
      <c r="I35" s="48"/>
      <c r="J35" s="49"/>
      <c r="K35" s="54">
        <f>N34+M34</f>
        <v>216410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216410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299460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N53"/>
  <sheetViews>
    <sheetView view="pageBreakPreview" topLeftCell="E19" zoomScale="115" zoomScaleNormal="145" zoomScaleSheetLayoutView="115" zoomScalePageLayoutView="85" workbookViewId="0">
      <selection activeCell="J37" sqref="J37:J39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224</v>
      </c>
      <c r="D3" s="58" t="s">
        <v>4</v>
      </c>
      <c r="E3" s="58"/>
      <c r="F3" s="17" t="s">
        <v>3</v>
      </c>
      <c r="G3" s="3">
        <v>45587</v>
      </c>
      <c r="H3" s="57" t="s">
        <v>8</v>
      </c>
      <c r="I3" s="57"/>
      <c r="J3" s="18" t="s">
        <v>224</v>
      </c>
      <c r="K3" s="62" t="s">
        <v>5</v>
      </c>
      <c r="L3" s="62"/>
      <c r="M3" s="17" t="s">
        <v>3</v>
      </c>
      <c r="N3" s="3">
        <v>45587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(21)'!D37</f>
        <v>299460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1080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16640</v>
      </c>
      <c r="G5" s="10">
        <f>F4</f>
        <v>299460</v>
      </c>
      <c r="H5" s="8"/>
      <c r="I5" s="8"/>
      <c r="J5" s="31" t="s">
        <v>54</v>
      </c>
      <c r="K5" s="9" t="s">
        <v>0</v>
      </c>
      <c r="L5" s="8"/>
      <c r="M5" s="10">
        <v>1050</v>
      </c>
      <c r="N5" s="10">
        <f>M4</f>
        <v>1080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130</v>
      </c>
      <c r="G6" s="10">
        <f>G5+F5</f>
        <v>316100</v>
      </c>
      <c r="H6" s="8"/>
      <c r="I6" s="8"/>
      <c r="J6" s="31" t="s">
        <v>100</v>
      </c>
      <c r="K6" s="9" t="s">
        <v>0</v>
      </c>
      <c r="L6" s="8"/>
      <c r="M6" s="10">
        <v>700</v>
      </c>
      <c r="N6" s="10">
        <f t="shared" ref="N6" si="0">N5+M5</f>
        <v>2130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130</v>
      </c>
      <c r="G7" s="10">
        <f t="shared" ref="G7:G40" si="1">G6+F6</f>
        <v>316230</v>
      </c>
      <c r="H7" s="8"/>
      <c r="I7" s="8"/>
      <c r="J7" s="6" t="s">
        <v>259</v>
      </c>
      <c r="K7" s="9" t="s">
        <v>0</v>
      </c>
      <c r="L7" s="8"/>
      <c r="M7" s="10">
        <v>2000</v>
      </c>
      <c r="N7" s="10">
        <f>N6+M6</f>
        <v>2830</v>
      </c>
    </row>
    <row r="8" spans="1:14" s="11" customFormat="1" ht="21" customHeight="1" x14ac:dyDescent="0.25">
      <c r="A8" s="8"/>
      <c r="B8" s="8"/>
      <c r="C8" s="6" t="s">
        <v>174</v>
      </c>
      <c r="D8" s="9" t="s">
        <v>1</v>
      </c>
      <c r="E8" s="8"/>
      <c r="F8" s="10">
        <v>26980</v>
      </c>
      <c r="G8" s="10">
        <f t="shared" si="1"/>
        <v>316360</v>
      </c>
      <c r="H8" s="8"/>
      <c r="I8" s="8">
        <v>449</v>
      </c>
      <c r="J8" s="6" t="s">
        <v>174</v>
      </c>
      <c r="K8" s="9" t="s">
        <v>0</v>
      </c>
      <c r="L8" s="8">
        <v>503</v>
      </c>
      <c r="M8" s="10">
        <v>13150</v>
      </c>
      <c r="N8" s="10">
        <f t="shared" ref="N8:N41" si="2">N7+M7</f>
        <v>4830</v>
      </c>
    </row>
    <row r="9" spans="1:14" s="11" customFormat="1" ht="21" customHeight="1" x14ac:dyDescent="0.25">
      <c r="A9" s="8"/>
      <c r="B9" s="8"/>
      <c r="C9" s="6" t="s">
        <v>173</v>
      </c>
      <c r="D9" s="9" t="s">
        <v>1</v>
      </c>
      <c r="E9" s="8"/>
      <c r="F9" s="10">
        <v>8000</v>
      </c>
      <c r="G9" s="10">
        <f t="shared" si="1"/>
        <v>343340</v>
      </c>
      <c r="H9" s="8"/>
      <c r="I9" s="8">
        <v>450</v>
      </c>
      <c r="J9" s="6" t="s">
        <v>173</v>
      </c>
      <c r="K9" s="9" t="s">
        <v>0</v>
      </c>
      <c r="L9" s="8">
        <v>518</v>
      </c>
      <c r="M9" s="10">
        <v>17450</v>
      </c>
      <c r="N9" s="10">
        <f t="shared" si="2"/>
        <v>17980</v>
      </c>
    </row>
    <row r="10" spans="1:14" s="11" customFormat="1" ht="21" customHeight="1" x14ac:dyDescent="0.25">
      <c r="A10" s="8"/>
      <c r="B10" s="8"/>
      <c r="C10" s="6" t="s">
        <v>175</v>
      </c>
      <c r="D10" s="9" t="s">
        <v>1</v>
      </c>
      <c r="E10" s="8"/>
      <c r="F10" s="10">
        <v>10940</v>
      </c>
      <c r="G10" s="10">
        <f t="shared" si="1"/>
        <v>351340</v>
      </c>
      <c r="H10" s="8"/>
      <c r="I10" s="8">
        <v>451</v>
      </c>
      <c r="J10" s="6" t="s">
        <v>175</v>
      </c>
      <c r="K10" s="9" t="s">
        <v>0</v>
      </c>
      <c r="L10" s="8">
        <v>522</v>
      </c>
      <c r="M10" s="10">
        <v>5690</v>
      </c>
      <c r="N10" s="10">
        <f t="shared" si="2"/>
        <v>35430</v>
      </c>
    </row>
    <row r="11" spans="1:14" s="11" customFormat="1" ht="21" customHeight="1" x14ac:dyDescent="0.25">
      <c r="A11" s="8"/>
      <c r="B11" s="8"/>
      <c r="C11" s="6" t="s">
        <v>49</v>
      </c>
      <c r="D11" s="9" t="s">
        <v>1</v>
      </c>
      <c r="E11" s="8"/>
      <c r="F11" s="10">
        <v>55500</v>
      </c>
      <c r="G11" s="10">
        <f t="shared" si="1"/>
        <v>362280</v>
      </c>
      <c r="H11" s="8"/>
      <c r="I11" s="8">
        <v>452</v>
      </c>
      <c r="J11" s="6" t="s">
        <v>46</v>
      </c>
      <c r="K11" s="9" t="s">
        <v>0</v>
      </c>
      <c r="L11" s="8">
        <v>514</v>
      </c>
      <c r="M11" s="10">
        <v>33780</v>
      </c>
      <c r="N11" s="10">
        <f t="shared" si="2"/>
        <v>41120</v>
      </c>
    </row>
    <row r="12" spans="1:14" s="11" customFormat="1" ht="21" customHeight="1" x14ac:dyDescent="0.25">
      <c r="A12" s="8"/>
      <c r="B12" s="8"/>
      <c r="C12" s="6" t="s">
        <v>292</v>
      </c>
      <c r="D12" s="9" t="s">
        <v>1</v>
      </c>
      <c r="E12" s="8"/>
      <c r="F12" s="10">
        <v>2190</v>
      </c>
      <c r="G12" s="10">
        <f t="shared" si="1"/>
        <v>417780</v>
      </c>
      <c r="H12" s="8"/>
      <c r="I12" s="8">
        <v>453</v>
      </c>
      <c r="J12" s="6" t="s">
        <v>49</v>
      </c>
      <c r="K12" s="9" t="s">
        <v>0</v>
      </c>
      <c r="L12" s="8">
        <v>515</v>
      </c>
      <c r="M12" s="10">
        <v>36000</v>
      </c>
      <c r="N12" s="10">
        <f t="shared" si="2"/>
        <v>74900</v>
      </c>
    </row>
    <row r="13" spans="1:14" s="11" customFormat="1" ht="21" customHeight="1" x14ac:dyDescent="0.25">
      <c r="A13" s="8"/>
      <c r="B13" s="8"/>
      <c r="C13" s="6" t="s">
        <v>400</v>
      </c>
      <c r="D13" s="9" t="s">
        <v>1</v>
      </c>
      <c r="E13" s="8"/>
      <c r="F13" s="10">
        <v>20000</v>
      </c>
      <c r="G13" s="10">
        <f t="shared" si="1"/>
        <v>419970</v>
      </c>
      <c r="H13" s="8"/>
      <c r="I13" s="8">
        <v>454</v>
      </c>
      <c r="J13" s="6" t="s">
        <v>320</v>
      </c>
      <c r="K13" s="9" t="s">
        <v>0</v>
      </c>
      <c r="L13" s="8">
        <v>541</v>
      </c>
      <c r="M13" s="10">
        <v>2420</v>
      </c>
      <c r="N13" s="10">
        <f t="shared" si="2"/>
        <v>110900</v>
      </c>
    </row>
    <row r="14" spans="1:14" s="11" customFormat="1" ht="21" customHeight="1" x14ac:dyDescent="0.25">
      <c r="A14" s="8"/>
      <c r="B14" s="8"/>
      <c r="C14" s="6" t="s">
        <v>85</v>
      </c>
      <c r="D14" s="9" t="s">
        <v>1</v>
      </c>
      <c r="E14" s="8"/>
      <c r="F14" s="10">
        <v>2000</v>
      </c>
      <c r="G14" s="10">
        <f t="shared" si="1"/>
        <v>439970</v>
      </c>
      <c r="H14" s="8"/>
      <c r="I14" s="8">
        <v>455</v>
      </c>
      <c r="J14" s="6" t="s">
        <v>360</v>
      </c>
      <c r="K14" s="9" t="s">
        <v>0</v>
      </c>
      <c r="L14" s="8">
        <v>519</v>
      </c>
      <c r="M14" s="10">
        <v>30890</v>
      </c>
      <c r="N14" s="10">
        <f t="shared" si="2"/>
        <v>113320</v>
      </c>
    </row>
    <row r="15" spans="1:14" s="11" customFormat="1" ht="21" customHeight="1" x14ac:dyDescent="0.25">
      <c r="A15" s="10"/>
      <c r="B15" s="10"/>
      <c r="C15" s="6" t="s">
        <v>281</v>
      </c>
      <c r="D15" s="9" t="s">
        <v>1</v>
      </c>
      <c r="E15" s="8"/>
      <c r="F15" s="10">
        <v>4870</v>
      </c>
      <c r="G15" s="10">
        <f t="shared" si="1"/>
        <v>441970</v>
      </c>
      <c r="H15" s="10"/>
      <c r="I15" s="8">
        <v>456</v>
      </c>
      <c r="J15" s="6" t="s">
        <v>245</v>
      </c>
      <c r="K15" s="9" t="s">
        <v>0</v>
      </c>
      <c r="L15" s="8">
        <v>543</v>
      </c>
      <c r="M15" s="10">
        <v>71600</v>
      </c>
      <c r="N15" s="10">
        <f t="shared" si="2"/>
        <v>144210</v>
      </c>
    </row>
    <row r="16" spans="1:14" s="11" customFormat="1" ht="21" customHeight="1" x14ac:dyDescent="0.25">
      <c r="A16" s="10"/>
      <c r="B16" s="10"/>
      <c r="C16" s="6" t="s">
        <v>19</v>
      </c>
      <c r="D16" s="9" t="s">
        <v>1</v>
      </c>
      <c r="E16" s="8"/>
      <c r="F16" s="10">
        <v>2480</v>
      </c>
      <c r="G16" s="10">
        <f t="shared" si="1"/>
        <v>446840</v>
      </c>
      <c r="H16" s="10"/>
      <c r="I16" s="8">
        <v>457</v>
      </c>
      <c r="J16" s="6" t="s">
        <v>281</v>
      </c>
      <c r="K16" s="9" t="s">
        <v>0</v>
      </c>
      <c r="L16" s="8">
        <v>521</v>
      </c>
      <c r="M16" s="10">
        <v>10560</v>
      </c>
      <c r="N16" s="10">
        <f t="shared" si="2"/>
        <v>215810</v>
      </c>
    </row>
    <row r="17" spans="1:14" s="11" customFormat="1" ht="21" customHeight="1" x14ac:dyDescent="0.25">
      <c r="A17" s="10"/>
      <c r="B17" s="10"/>
      <c r="C17" s="6" t="s">
        <v>440</v>
      </c>
      <c r="D17" s="9" t="s">
        <v>1</v>
      </c>
      <c r="E17" s="8"/>
      <c r="F17" s="10">
        <v>7330</v>
      </c>
      <c r="G17" s="10">
        <f t="shared" si="1"/>
        <v>449320</v>
      </c>
      <c r="H17" s="10"/>
      <c r="I17" s="8">
        <v>458</v>
      </c>
      <c r="J17" s="6" t="s">
        <v>294</v>
      </c>
      <c r="K17" s="9" t="s">
        <v>0</v>
      </c>
      <c r="L17" s="8">
        <v>542</v>
      </c>
      <c r="M17" s="10">
        <v>2860</v>
      </c>
      <c r="N17" s="10">
        <f t="shared" si="2"/>
        <v>226370</v>
      </c>
    </row>
    <row r="18" spans="1:14" s="11" customFormat="1" ht="21" customHeight="1" x14ac:dyDescent="0.25">
      <c r="A18" s="10"/>
      <c r="B18" s="10"/>
      <c r="C18" s="6" t="s">
        <v>325</v>
      </c>
      <c r="D18" s="9" t="s">
        <v>1</v>
      </c>
      <c r="E18" s="8"/>
      <c r="F18" s="10">
        <v>3900</v>
      </c>
      <c r="G18" s="10">
        <f t="shared" si="1"/>
        <v>456650</v>
      </c>
      <c r="H18" s="10"/>
      <c r="I18" s="8">
        <v>459</v>
      </c>
      <c r="J18" s="6" t="s">
        <v>169</v>
      </c>
      <c r="K18" s="9" t="s">
        <v>0</v>
      </c>
      <c r="L18" s="8">
        <v>537</v>
      </c>
      <c r="M18" s="10">
        <v>2750</v>
      </c>
      <c r="N18" s="10">
        <f t="shared" si="2"/>
        <v>229230</v>
      </c>
    </row>
    <row r="19" spans="1:14" s="11" customFormat="1" ht="21" customHeight="1" x14ac:dyDescent="0.25">
      <c r="A19" s="10"/>
      <c r="B19" s="10"/>
      <c r="C19" s="6" t="s">
        <v>333</v>
      </c>
      <c r="D19" s="9" t="s">
        <v>1</v>
      </c>
      <c r="E19" s="8"/>
      <c r="F19" s="10">
        <v>2700</v>
      </c>
      <c r="G19" s="10">
        <f t="shared" si="1"/>
        <v>460550</v>
      </c>
      <c r="H19" s="10"/>
      <c r="I19" s="8">
        <v>460</v>
      </c>
      <c r="J19" s="6" t="s">
        <v>414</v>
      </c>
      <c r="K19" s="9" t="s">
        <v>0</v>
      </c>
      <c r="L19" s="8">
        <v>528</v>
      </c>
      <c r="M19" s="10">
        <v>8310</v>
      </c>
      <c r="N19" s="10">
        <f t="shared" si="2"/>
        <v>231980</v>
      </c>
    </row>
    <row r="20" spans="1:14" s="11" customFormat="1" ht="21" customHeight="1" x14ac:dyDescent="0.25">
      <c r="A20" s="10"/>
      <c r="B20" s="10"/>
      <c r="C20" s="6" t="s">
        <v>272</v>
      </c>
      <c r="D20" s="9" t="s">
        <v>1</v>
      </c>
      <c r="E20" s="8"/>
      <c r="F20" s="10">
        <v>2190</v>
      </c>
      <c r="G20" s="10">
        <f t="shared" si="1"/>
        <v>463250</v>
      </c>
      <c r="H20" s="10"/>
      <c r="I20" s="8">
        <v>461</v>
      </c>
      <c r="J20" s="6" t="s">
        <v>407</v>
      </c>
      <c r="K20" s="9" t="s">
        <v>0</v>
      </c>
      <c r="L20" s="8">
        <v>540</v>
      </c>
      <c r="M20" s="10">
        <v>30760</v>
      </c>
      <c r="N20" s="10">
        <f t="shared" si="2"/>
        <v>240290</v>
      </c>
    </row>
    <row r="21" spans="1:14" s="11" customFormat="1" ht="21" customHeight="1" x14ac:dyDescent="0.25">
      <c r="A21" s="10"/>
      <c r="B21" s="10"/>
      <c r="C21" s="6" t="s">
        <v>111</v>
      </c>
      <c r="D21" s="9" t="s">
        <v>1</v>
      </c>
      <c r="E21" s="8"/>
      <c r="F21" s="10">
        <v>3860</v>
      </c>
      <c r="G21" s="10">
        <f t="shared" si="1"/>
        <v>465440</v>
      </c>
      <c r="H21" s="10"/>
      <c r="I21" s="8">
        <v>462</v>
      </c>
      <c r="J21" s="6" t="s">
        <v>50</v>
      </c>
      <c r="K21" s="9" t="s">
        <v>0</v>
      </c>
      <c r="L21" s="8">
        <v>538</v>
      </c>
      <c r="M21" s="10">
        <v>7200</v>
      </c>
      <c r="N21" s="10">
        <f t="shared" si="2"/>
        <v>271050</v>
      </c>
    </row>
    <row r="22" spans="1:14" s="11" customFormat="1" ht="21" customHeight="1" x14ac:dyDescent="0.25">
      <c r="A22" s="10"/>
      <c r="B22" s="10"/>
      <c r="C22" s="6" t="s">
        <v>110</v>
      </c>
      <c r="D22" s="9" t="s">
        <v>1</v>
      </c>
      <c r="E22" s="8"/>
      <c r="F22" s="10">
        <v>3860</v>
      </c>
      <c r="G22" s="10">
        <f t="shared" si="1"/>
        <v>469300</v>
      </c>
      <c r="H22" s="10"/>
      <c r="I22" s="8">
        <v>463</v>
      </c>
      <c r="J22" s="6" t="s">
        <v>273</v>
      </c>
      <c r="K22" s="9" t="s">
        <v>0</v>
      </c>
      <c r="L22" s="8">
        <v>539</v>
      </c>
      <c r="M22" s="10">
        <v>8420</v>
      </c>
      <c r="N22" s="10">
        <f t="shared" si="2"/>
        <v>278250</v>
      </c>
    </row>
    <row r="23" spans="1:14" s="11" customFormat="1" ht="21" customHeight="1" x14ac:dyDescent="0.25">
      <c r="A23" s="10"/>
      <c r="B23" s="10"/>
      <c r="C23" s="6" t="s">
        <v>106</v>
      </c>
      <c r="D23" s="9" t="s">
        <v>1</v>
      </c>
      <c r="E23" s="8"/>
      <c r="F23" s="10">
        <v>3510</v>
      </c>
      <c r="G23" s="10">
        <f t="shared" si="1"/>
        <v>473160</v>
      </c>
      <c r="H23" s="10"/>
      <c r="I23" s="8">
        <v>464</v>
      </c>
      <c r="J23" s="6" t="s">
        <v>272</v>
      </c>
      <c r="K23" s="9" t="s">
        <v>0</v>
      </c>
      <c r="L23" s="8">
        <v>535</v>
      </c>
      <c r="M23" s="10">
        <v>2920</v>
      </c>
      <c r="N23" s="10">
        <f t="shared" si="2"/>
        <v>286670</v>
      </c>
    </row>
    <row r="24" spans="1:14" s="11" customFormat="1" ht="21" customHeight="1" x14ac:dyDescent="0.25">
      <c r="A24" s="10"/>
      <c r="B24" s="10"/>
      <c r="C24" s="6" t="s">
        <v>39</v>
      </c>
      <c r="D24" s="9" t="s">
        <v>1</v>
      </c>
      <c r="E24" s="8"/>
      <c r="F24" s="10">
        <v>8410</v>
      </c>
      <c r="G24" s="10">
        <f t="shared" si="1"/>
        <v>476670</v>
      </c>
      <c r="H24" s="10"/>
      <c r="I24" s="8">
        <v>465</v>
      </c>
      <c r="J24" s="6" t="s">
        <v>110</v>
      </c>
      <c r="K24" s="9" t="s">
        <v>0</v>
      </c>
      <c r="L24" s="8">
        <v>524</v>
      </c>
      <c r="M24" s="10">
        <v>8860</v>
      </c>
      <c r="N24" s="10">
        <f t="shared" si="2"/>
        <v>289590</v>
      </c>
    </row>
    <row r="25" spans="1:14" s="11" customFormat="1" ht="21" customHeight="1" x14ac:dyDescent="0.25">
      <c r="A25" s="10"/>
      <c r="B25" s="10"/>
      <c r="C25" s="6" t="s">
        <v>39</v>
      </c>
      <c r="D25" s="9" t="s">
        <v>1</v>
      </c>
      <c r="E25" s="8"/>
      <c r="F25" s="10">
        <v>68510</v>
      </c>
      <c r="G25" s="10">
        <f t="shared" si="1"/>
        <v>485080</v>
      </c>
      <c r="H25" s="10"/>
      <c r="I25" s="8">
        <v>466</v>
      </c>
      <c r="J25" s="6" t="s">
        <v>111</v>
      </c>
      <c r="K25" s="9" t="s">
        <v>0</v>
      </c>
      <c r="L25" s="8">
        <v>525</v>
      </c>
      <c r="M25" s="10">
        <v>17370</v>
      </c>
      <c r="N25" s="10">
        <f t="shared" si="2"/>
        <v>298450</v>
      </c>
    </row>
    <row r="26" spans="1:14" s="11" customFormat="1" ht="21" customHeight="1" x14ac:dyDescent="0.25">
      <c r="A26" s="10"/>
      <c r="B26" s="10"/>
      <c r="C26" s="6"/>
      <c r="D26" s="9" t="s">
        <v>1</v>
      </c>
      <c r="E26" s="8"/>
      <c r="F26" s="10"/>
      <c r="G26" s="10">
        <f t="shared" si="1"/>
        <v>553590</v>
      </c>
      <c r="H26" s="10"/>
      <c r="I26" s="8">
        <v>467</v>
      </c>
      <c r="J26" s="6" t="s">
        <v>106</v>
      </c>
      <c r="K26" s="9" t="s">
        <v>0</v>
      </c>
      <c r="L26" s="8">
        <v>532</v>
      </c>
      <c r="M26" s="10">
        <v>680</v>
      </c>
      <c r="N26" s="10">
        <f t="shared" si="2"/>
        <v>315820</v>
      </c>
    </row>
    <row r="27" spans="1:14" s="11" customFormat="1" ht="21" customHeight="1" x14ac:dyDescent="0.25">
      <c r="A27" s="10"/>
      <c r="B27" s="10"/>
      <c r="C27" s="6"/>
      <c r="D27" s="21" t="s">
        <v>1</v>
      </c>
      <c r="E27" s="8"/>
      <c r="F27" s="10"/>
      <c r="G27" s="22">
        <f t="shared" si="1"/>
        <v>553590</v>
      </c>
      <c r="H27" s="10"/>
      <c r="I27" s="8">
        <v>468</v>
      </c>
      <c r="J27" s="6" t="s">
        <v>333</v>
      </c>
      <c r="K27" s="9" t="s">
        <v>0</v>
      </c>
      <c r="L27" s="8">
        <v>526</v>
      </c>
      <c r="M27" s="10">
        <v>4850</v>
      </c>
      <c r="N27" s="10">
        <f t="shared" si="2"/>
        <v>316500</v>
      </c>
    </row>
    <row r="28" spans="1:14" s="11" customFormat="1" ht="21" customHeight="1" x14ac:dyDescent="0.25">
      <c r="A28" s="10"/>
      <c r="B28" s="10"/>
      <c r="C28" s="6"/>
      <c r="D28" s="21" t="s">
        <v>1</v>
      </c>
      <c r="E28" s="8"/>
      <c r="F28" s="10"/>
      <c r="G28" s="22">
        <f t="shared" si="1"/>
        <v>553590</v>
      </c>
      <c r="H28" s="10"/>
      <c r="I28" s="8">
        <v>469</v>
      </c>
      <c r="J28" s="6" t="s">
        <v>278</v>
      </c>
      <c r="K28" s="9" t="s">
        <v>0</v>
      </c>
      <c r="L28" s="8">
        <v>536</v>
      </c>
      <c r="M28" s="10">
        <v>3400</v>
      </c>
      <c r="N28" s="10">
        <f t="shared" si="2"/>
        <v>321350</v>
      </c>
    </row>
    <row r="29" spans="1:14" s="11" customFormat="1" ht="21" customHeight="1" x14ac:dyDescent="0.25">
      <c r="A29" s="10"/>
      <c r="B29" s="10"/>
      <c r="C29" s="6"/>
      <c r="D29" s="21" t="s">
        <v>1</v>
      </c>
      <c r="E29" s="8"/>
      <c r="F29" s="10"/>
      <c r="G29" s="22">
        <f t="shared" si="1"/>
        <v>553590</v>
      </c>
      <c r="H29" s="10"/>
      <c r="I29" s="8">
        <v>470</v>
      </c>
      <c r="J29" s="6" t="s">
        <v>334</v>
      </c>
      <c r="K29" s="9" t="s">
        <v>0</v>
      </c>
      <c r="L29" s="8">
        <v>520</v>
      </c>
      <c r="M29" s="10">
        <v>1050</v>
      </c>
      <c r="N29" s="10">
        <f t="shared" si="2"/>
        <v>324750</v>
      </c>
    </row>
    <row r="30" spans="1:14" s="11" customFormat="1" ht="21" customHeight="1" x14ac:dyDescent="0.25">
      <c r="A30" s="10"/>
      <c r="B30" s="10"/>
      <c r="C30" s="6"/>
      <c r="D30" s="21" t="s">
        <v>1</v>
      </c>
      <c r="E30" s="8"/>
      <c r="F30" s="10"/>
      <c r="G30" s="22">
        <f t="shared" si="1"/>
        <v>553590</v>
      </c>
      <c r="H30" s="10"/>
      <c r="I30" s="8">
        <v>471</v>
      </c>
      <c r="J30" s="6" t="s">
        <v>448</v>
      </c>
      <c r="K30" s="9" t="s">
        <v>0</v>
      </c>
      <c r="L30" s="8">
        <v>529</v>
      </c>
      <c r="M30" s="10">
        <v>1940</v>
      </c>
      <c r="N30" s="10">
        <f t="shared" si="2"/>
        <v>325800</v>
      </c>
    </row>
    <row r="31" spans="1:14" s="11" customFormat="1" ht="21" customHeight="1" x14ac:dyDescent="0.25">
      <c r="A31" s="10"/>
      <c r="B31" s="10"/>
      <c r="C31" s="31" t="s">
        <v>452</v>
      </c>
      <c r="D31" s="21" t="s">
        <v>1</v>
      </c>
      <c r="E31" s="8"/>
      <c r="F31" s="10"/>
      <c r="G31" s="22">
        <f t="shared" si="1"/>
        <v>553590</v>
      </c>
      <c r="H31" s="10"/>
      <c r="I31" s="8">
        <v>472</v>
      </c>
      <c r="J31" s="6" t="s">
        <v>449</v>
      </c>
      <c r="K31" s="9" t="s">
        <v>0</v>
      </c>
      <c r="L31" s="8">
        <v>531</v>
      </c>
      <c r="M31" s="10">
        <v>2550</v>
      </c>
      <c r="N31" s="10">
        <f t="shared" si="2"/>
        <v>327740</v>
      </c>
    </row>
    <row r="32" spans="1:14" s="11" customFormat="1" ht="21" customHeight="1" x14ac:dyDescent="0.25">
      <c r="A32" s="10"/>
      <c r="B32" s="10"/>
      <c r="C32" s="31" t="s">
        <v>451</v>
      </c>
      <c r="D32" s="21" t="s">
        <v>1</v>
      </c>
      <c r="E32" s="8"/>
      <c r="F32" s="10"/>
      <c r="G32" s="22">
        <f t="shared" si="1"/>
        <v>553590</v>
      </c>
      <c r="H32" s="10"/>
      <c r="I32" s="8">
        <v>473</v>
      </c>
      <c r="J32" s="6" t="s">
        <v>450</v>
      </c>
      <c r="K32" s="9" t="s">
        <v>0</v>
      </c>
      <c r="L32" s="8">
        <v>533</v>
      </c>
      <c r="M32" s="10">
        <v>6100</v>
      </c>
      <c r="N32" s="10">
        <f t="shared" si="2"/>
        <v>330290</v>
      </c>
    </row>
    <row r="33" spans="1:14" s="11" customFormat="1" ht="21" customHeight="1" x14ac:dyDescent="0.25">
      <c r="A33" s="10"/>
      <c r="B33" s="10"/>
      <c r="C33" s="6"/>
      <c r="D33" s="21" t="s">
        <v>1</v>
      </c>
      <c r="E33" s="8"/>
      <c r="F33" s="10"/>
      <c r="G33" s="22">
        <f t="shared" si="1"/>
        <v>553590</v>
      </c>
      <c r="H33" s="10"/>
      <c r="I33" s="8">
        <v>474</v>
      </c>
      <c r="J33" s="6" t="s">
        <v>372</v>
      </c>
      <c r="K33" s="9" t="s">
        <v>0</v>
      </c>
      <c r="L33" s="8">
        <v>534</v>
      </c>
      <c r="M33" s="10">
        <v>4700</v>
      </c>
      <c r="N33" s="10">
        <f t="shared" si="2"/>
        <v>336390</v>
      </c>
    </row>
    <row r="34" spans="1:14" s="11" customFormat="1" ht="21" customHeight="1" x14ac:dyDescent="0.25">
      <c r="A34" s="10"/>
      <c r="B34" s="10"/>
      <c r="C34" s="6"/>
      <c r="D34" s="21" t="s">
        <v>1</v>
      </c>
      <c r="E34" s="8"/>
      <c r="F34" s="10"/>
      <c r="G34" s="22">
        <f t="shared" si="1"/>
        <v>553590</v>
      </c>
      <c r="H34" s="10"/>
      <c r="I34" s="8">
        <v>475</v>
      </c>
      <c r="J34" s="6" t="s">
        <v>292</v>
      </c>
      <c r="K34" s="9" t="s">
        <v>0</v>
      </c>
      <c r="L34" s="8">
        <v>530</v>
      </c>
      <c r="M34" s="10">
        <v>3200</v>
      </c>
      <c r="N34" s="10">
        <f t="shared" si="2"/>
        <v>341090</v>
      </c>
    </row>
    <row r="35" spans="1:14" s="11" customFormat="1" ht="21" customHeight="1" x14ac:dyDescent="0.25">
      <c r="A35" s="10"/>
      <c r="B35" s="10"/>
      <c r="C35" s="6"/>
      <c r="D35" s="21" t="s">
        <v>1</v>
      </c>
      <c r="E35" s="8"/>
      <c r="F35" s="10"/>
      <c r="G35" s="22">
        <f t="shared" si="1"/>
        <v>553590</v>
      </c>
      <c r="H35" s="10"/>
      <c r="I35" s="8">
        <v>476</v>
      </c>
      <c r="J35" s="6" t="s">
        <v>39</v>
      </c>
      <c r="K35" s="9" t="s">
        <v>0</v>
      </c>
      <c r="L35" s="40" t="s">
        <v>447</v>
      </c>
      <c r="M35" s="10">
        <v>76920</v>
      </c>
      <c r="N35" s="10">
        <f t="shared" si="2"/>
        <v>344290</v>
      </c>
    </row>
    <row r="36" spans="1:14" s="11" customFormat="1" ht="21" customHeight="1" x14ac:dyDescent="0.25">
      <c r="A36" s="10"/>
      <c r="B36" s="10"/>
      <c r="C36" s="6"/>
      <c r="D36" s="21" t="s">
        <v>1</v>
      </c>
      <c r="E36" s="8"/>
      <c r="F36" s="10"/>
      <c r="G36" s="22">
        <f t="shared" si="1"/>
        <v>553590</v>
      </c>
      <c r="H36" s="10"/>
      <c r="I36" s="8"/>
      <c r="J36" s="6"/>
      <c r="K36" s="9"/>
      <c r="L36" s="40"/>
      <c r="M36" s="10"/>
      <c r="N36" s="10">
        <f t="shared" si="2"/>
        <v>421210</v>
      </c>
    </row>
    <row r="37" spans="1:14" s="11" customFormat="1" ht="21" customHeight="1" x14ac:dyDescent="0.25">
      <c r="A37" s="10"/>
      <c r="B37" s="10"/>
      <c r="C37" s="6"/>
      <c r="D37" s="21" t="s">
        <v>1</v>
      </c>
      <c r="E37" s="8"/>
      <c r="F37" s="10"/>
      <c r="G37" s="22">
        <f t="shared" si="1"/>
        <v>553590</v>
      </c>
      <c r="H37" s="10"/>
      <c r="I37" s="10"/>
      <c r="J37" s="31" t="s">
        <v>460</v>
      </c>
      <c r="K37" s="21" t="s">
        <v>0</v>
      </c>
      <c r="L37" s="8"/>
      <c r="M37" s="10"/>
      <c r="N37" s="10">
        <f t="shared" si="2"/>
        <v>421210</v>
      </c>
    </row>
    <row r="38" spans="1:14" s="11" customFormat="1" ht="21" customHeight="1" x14ac:dyDescent="0.25">
      <c r="A38" s="10"/>
      <c r="B38" s="10"/>
      <c r="C38" s="6"/>
      <c r="D38" s="21" t="s">
        <v>1</v>
      </c>
      <c r="E38" s="8"/>
      <c r="F38" s="10"/>
      <c r="G38" s="22">
        <f t="shared" si="1"/>
        <v>553590</v>
      </c>
      <c r="H38" s="10"/>
      <c r="I38" s="10"/>
      <c r="J38" s="36" t="s">
        <v>453</v>
      </c>
      <c r="K38" s="21" t="s">
        <v>0</v>
      </c>
      <c r="L38" s="8"/>
      <c r="M38" s="10"/>
      <c r="N38" s="22">
        <f t="shared" si="2"/>
        <v>421210</v>
      </c>
    </row>
    <row r="39" spans="1:14" s="11" customFormat="1" ht="21" customHeight="1" x14ac:dyDescent="0.25">
      <c r="A39" s="10"/>
      <c r="B39" s="10"/>
      <c r="C39" s="10"/>
      <c r="D39" s="21" t="s">
        <v>1</v>
      </c>
      <c r="E39" s="8"/>
      <c r="F39" s="10"/>
      <c r="G39" s="22">
        <f t="shared" si="1"/>
        <v>553590</v>
      </c>
      <c r="H39" s="10"/>
      <c r="I39" s="10"/>
      <c r="J39" s="31" t="s">
        <v>461</v>
      </c>
      <c r="K39" s="21" t="s">
        <v>0</v>
      </c>
      <c r="L39" s="8"/>
      <c r="M39" s="10"/>
      <c r="N39" s="22">
        <f t="shared" si="2"/>
        <v>421210</v>
      </c>
    </row>
    <row r="40" spans="1:14" s="11" customFormat="1" ht="21" customHeight="1" x14ac:dyDescent="0.25">
      <c r="A40" s="10"/>
      <c r="B40" s="10"/>
      <c r="C40" s="10"/>
      <c r="D40" s="21" t="s">
        <v>1</v>
      </c>
      <c r="E40" s="8"/>
      <c r="F40" s="10"/>
      <c r="G40" s="22">
        <f t="shared" si="1"/>
        <v>553590</v>
      </c>
      <c r="H40" s="10"/>
      <c r="I40" s="10"/>
      <c r="J40" s="10"/>
      <c r="K40" s="21" t="s">
        <v>0</v>
      </c>
      <c r="L40" s="8"/>
      <c r="M40" s="10"/>
      <c r="N40" s="22">
        <f t="shared" si="2"/>
        <v>421210</v>
      </c>
    </row>
    <row r="41" spans="1:14" s="11" customFormat="1" ht="21" customHeight="1" x14ac:dyDescent="0.25">
      <c r="A41" s="10"/>
      <c r="B41" s="10"/>
      <c r="C41" s="10"/>
      <c r="D41" s="21" t="s">
        <v>1</v>
      </c>
      <c r="E41" s="10"/>
      <c r="F41" s="10"/>
      <c r="G41" s="22">
        <f>G40+F40</f>
        <v>553590</v>
      </c>
      <c r="H41" s="10"/>
      <c r="I41" s="10"/>
      <c r="J41" s="10"/>
      <c r="K41" s="21" t="s">
        <v>0</v>
      </c>
      <c r="L41" s="10"/>
      <c r="M41" s="10"/>
      <c r="N41" s="22">
        <f t="shared" si="2"/>
        <v>421210</v>
      </c>
    </row>
    <row r="42" spans="1:14" ht="31.5" customHeight="1" x14ac:dyDescent="0.25">
      <c r="A42" s="46" t="s">
        <v>9</v>
      </c>
      <c r="B42" s="46"/>
      <c r="C42" s="47"/>
      <c r="D42" s="54">
        <f>G41+F41</f>
        <v>553590</v>
      </c>
      <c r="E42" s="54"/>
      <c r="F42" s="54"/>
      <c r="G42" s="54"/>
      <c r="H42" s="48" t="s">
        <v>10</v>
      </c>
      <c r="I42" s="48"/>
      <c r="J42" s="49"/>
      <c r="K42" s="54">
        <f>N41+M41</f>
        <v>421210</v>
      </c>
      <c r="L42" s="54"/>
      <c r="M42" s="54"/>
      <c r="N42" s="54"/>
    </row>
    <row r="43" spans="1:14" ht="30.75" customHeight="1" x14ac:dyDescent="0.25">
      <c r="A43" s="48" t="s">
        <v>10</v>
      </c>
      <c r="B43" s="48"/>
      <c r="C43" s="49"/>
      <c r="D43" s="55">
        <f>K42</f>
        <v>421210</v>
      </c>
      <c r="E43" s="55"/>
      <c r="F43" s="55"/>
      <c r="G43" s="55"/>
      <c r="H43" s="59"/>
      <c r="I43" s="59"/>
      <c r="J43" s="13"/>
      <c r="K43" s="61"/>
      <c r="L43" s="61"/>
      <c r="M43" s="61"/>
      <c r="N43" s="14"/>
    </row>
    <row r="44" spans="1:14" ht="36.75" customHeight="1" x14ac:dyDescent="0.25">
      <c r="A44" s="50" t="s">
        <v>11</v>
      </c>
      <c r="B44" s="50"/>
      <c r="C44" s="51"/>
      <c r="D44" s="63">
        <f>D42-D43</f>
        <v>132380</v>
      </c>
      <c r="E44" s="63"/>
      <c r="F44" s="63"/>
      <c r="G44" s="63"/>
      <c r="H44" s="59"/>
      <c r="I44" s="59"/>
      <c r="J44" s="13"/>
      <c r="K44" s="60"/>
      <c r="L44" s="60"/>
      <c r="M44" s="60"/>
      <c r="N44" s="15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  <row r="47" spans="1:14" ht="21" customHeight="1" x14ac:dyDescent="0.25">
      <c r="C47" s="7"/>
      <c r="D47" s="4"/>
      <c r="E47" s="4"/>
      <c r="F47" s="4"/>
      <c r="G47" s="4"/>
      <c r="J47" s="7"/>
      <c r="K47" s="4"/>
      <c r="L47" s="4"/>
      <c r="M47" s="4"/>
      <c r="N47" s="4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</sheetData>
  <mergeCells count="21">
    <mergeCell ref="A44:C44"/>
    <mergeCell ref="D44:G44"/>
    <mergeCell ref="H44:I44"/>
    <mergeCell ref="K44:M44"/>
    <mergeCell ref="A4:E4"/>
    <mergeCell ref="A42:C42"/>
    <mergeCell ref="D42:G42"/>
    <mergeCell ref="H42:J42"/>
    <mergeCell ref="K42:N42"/>
    <mergeCell ref="A43:C43"/>
    <mergeCell ref="D43:G43"/>
    <mergeCell ref="H43:I43"/>
    <mergeCell ref="K43:M43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N46"/>
  <sheetViews>
    <sheetView view="pageBreakPreview" topLeftCell="A19" zoomScale="115" zoomScaleNormal="145" zoomScaleSheetLayoutView="115" zoomScalePageLayoutView="85" workbookViewId="0">
      <selection activeCell="J32" sqref="J32:J3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251</v>
      </c>
      <c r="D3" s="58" t="s">
        <v>4</v>
      </c>
      <c r="E3" s="58"/>
      <c r="F3" s="17" t="s">
        <v>3</v>
      </c>
      <c r="G3" s="3">
        <v>45588</v>
      </c>
      <c r="H3" s="57" t="s">
        <v>8</v>
      </c>
      <c r="I3" s="57"/>
      <c r="J3" s="18" t="s">
        <v>251</v>
      </c>
      <c r="K3" s="62" t="s">
        <v>5</v>
      </c>
      <c r="L3" s="62"/>
      <c r="M3" s="17" t="s">
        <v>3</v>
      </c>
      <c r="N3" s="3">
        <v>45588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(22)'!D44</f>
        <v>132380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3060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7300</v>
      </c>
      <c r="G5" s="10">
        <f>F4</f>
        <v>132380</v>
      </c>
      <c r="H5" s="8"/>
      <c r="I5" s="8"/>
      <c r="J5" s="31" t="s">
        <v>54</v>
      </c>
      <c r="K5" s="9" t="s">
        <v>0</v>
      </c>
      <c r="L5" s="8"/>
      <c r="M5" s="10">
        <v>550</v>
      </c>
      <c r="N5" s="10">
        <f>M4</f>
        <v>3060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30</v>
      </c>
      <c r="G6" s="10">
        <f>G5+F5</f>
        <v>139680</v>
      </c>
      <c r="H6" s="8"/>
      <c r="I6" s="8"/>
      <c r="J6" s="31" t="s">
        <v>100</v>
      </c>
      <c r="K6" s="9" t="s">
        <v>0</v>
      </c>
      <c r="L6" s="8"/>
      <c r="M6" s="10">
        <v>600</v>
      </c>
      <c r="N6" s="10">
        <f t="shared" ref="N6" si="0">N5+M5</f>
        <v>3610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30</v>
      </c>
      <c r="G7" s="10">
        <f t="shared" ref="G7:G33" si="1">G6+F6</f>
        <v>139710</v>
      </c>
      <c r="H7" s="8"/>
      <c r="I7" s="8"/>
      <c r="J7" s="6" t="s">
        <v>418</v>
      </c>
      <c r="K7" s="9" t="s">
        <v>0</v>
      </c>
      <c r="L7" s="8"/>
      <c r="M7" s="10">
        <v>1000</v>
      </c>
      <c r="N7" s="10">
        <f>N6+M6</f>
        <v>4210</v>
      </c>
    </row>
    <row r="8" spans="1:14" s="11" customFormat="1" ht="21" customHeight="1" x14ac:dyDescent="0.25">
      <c r="A8" s="8"/>
      <c r="B8" s="8"/>
      <c r="C8" s="6" t="s">
        <v>46</v>
      </c>
      <c r="D8" s="9" t="s">
        <v>1</v>
      </c>
      <c r="E8" s="8"/>
      <c r="F8" s="10">
        <v>20000</v>
      </c>
      <c r="G8" s="10">
        <f t="shared" si="1"/>
        <v>139740</v>
      </c>
      <c r="H8" s="8"/>
      <c r="I8" s="8"/>
      <c r="J8" s="6" t="s">
        <v>462</v>
      </c>
      <c r="K8" s="9" t="s">
        <v>0</v>
      </c>
      <c r="L8" s="8"/>
      <c r="M8" s="10">
        <v>2000</v>
      </c>
      <c r="N8" s="10">
        <f t="shared" ref="N8:N34" si="2">N7+M7</f>
        <v>5210</v>
      </c>
    </row>
    <row r="9" spans="1:14" s="11" customFormat="1" ht="21" customHeight="1" x14ac:dyDescent="0.25">
      <c r="A9" s="8"/>
      <c r="B9" s="8"/>
      <c r="C9" s="6" t="s">
        <v>245</v>
      </c>
      <c r="D9" s="9" t="s">
        <v>1</v>
      </c>
      <c r="E9" s="8"/>
      <c r="F9" s="10">
        <v>80000</v>
      </c>
      <c r="G9" s="10">
        <f t="shared" si="1"/>
        <v>159740</v>
      </c>
      <c r="H9" s="8"/>
      <c r="I9" s="8"/>
      <c r="J9" s="6" t="s">
        <v>463</v>
      </c>
      <c r="K9" s="9" t="s">
        <v>0</v>
      </c>
      <c r="L9" s="8"/>
      <c r="M9" s="10">
        <v>3890</v>
      </c>
      <c r="N9" s="10">
        <f t="shared" si="2"/>
        <v>7210</v>
      </c>
    </row>
    <row r="10" spans="1:14" s="11" customFormat="1" ht="21" customHeight="1" x14ac:dyDescent="0.25">
      <c r="A10" s="8"/>
      <c r="B10" s="8"/>
      <c r="C10" s="6" t="s">
        <v>258</v>
      </c>
      <c r="D10" s="9" t="s">
        <v>1</v>
      </c>
      <c r="E10" s="8"/>
      <c r="F10" s="10">
        <v>2790</v>
      </c>
      <c r="G10" s="10">
        <f t="shared" si="1"/>
        <v>239740</v>
      </c>
      <c r="H10" s="8"/>
      <c r="I10" s="8">
        <v>477</v>
      </c>
      <c r="J10" s="6" t="s">
        <v>464</v>
      </c>
      <c r="K10" s="9" t="s">
        <v>0</v>
      </c>
      <c r="L10" s="8">
        <v>459</v>
      </c>
      <c r="M10" s="10">
        <v>10350</v>
      </c>
      <c r="N10" s="10">
        <f t="shared" si="2"/>
        <v>11100</v>
      </c>
    </row>
    <row r="11" spans="1:14" s="11" customFormat="1" ht="21" customHeight="1" x14ac:dyDescent="0.25">
      <c r="A11" s="8"/>
      <c r="B11" s="8"/>
      <c r="C11" s="6" t="s">
        <v>465</v>
      </c>
      <c r="D11" s="9" t="s">
        <v>1</v>
      </c>
      <c r="E11" s="8"/>
      <c r="F11" s="10">
        <v>3900</v>
      </c>
      <c r="G11" s="10">
        <f t="shared" si="1"/>
        <v>242530</v>
      </c>
      <c r="H11" s="8"/>
      <c r="I11" s="8">
        <v>478</v>
      </c>
      <c r="J11" s="6" t="s">
        <v>320</v>
      </c>
      <c r="K11" s="9" t="s">
        <v>0</v>
      </c>
      <c r="L11" s="8">
        <v>461</v>
      </c>
      <c r="M11" s="10">
        <v>10530</v>
      </c>
      <c r="N11" s="10">
        <f t="shared" si="2"/>
        <v>21450</v>
      </c>
    </row>
    <row r="12" spans="1:14" s="11" customFormat="1" ht="21" customHeight="1" x14ac:dyDescent="0.25">
      <c r="A12" s="8"/>
      <c r="B12" s="8"/>
      <c r="C12" s="6" t="s">
        <v>290</v>
      </c>
      <c r="D12" s="9" t="s">
        <v>1</v>
      </c>
      <c r="E12" s="8"/>
      <c r="F12" s="10">
        <v>15000</v>
      </c>
      <c r="G12" s="10">
        <f t="shared" si="1"/>
        <v>246430</v>
      </c>
      <c r="H12" s="8"/>
      <c r="I12" s="8">
        <v>479</v>
      </c>
      <c r="J12" s="6" t="s">
        <v>43</v>
      </c>
      <c r="K12" s="9" t="s">
        <v>0</v>
      </c>
      <c r="L12" s="8">
        <v>464</v>
      </c>
      <c r="M12" s="10">
        <v>10440</v>
      </c>
      <c r="N12" s="10">
        <f t="shared" si="2"/>
        <v>31980</v>
      </c>
    </row>
    <row r="13" spans="1:14" s="11" customFormat="1" ht="21" customHeight="1" x14ac:dyDescent="0.25">
      <c r="A13" s="8"/>
      <c r="B13" s="8"/>
      <c r="C13" s="6" t="s">
        <v>44</v>
      </c>
      <c r="D13" s="9" t="s">
        <v>1</v>
      </c>
      <c r="E13" s="8"/>
      <c r="F13" s="10">
        <v>8730</v>
      </c>
      <c r="G13" s="10">
        <f t="shared" si="1"/>
        <v>261430</v>
      </c>
      <c r="H13" s="8"/>
      <c r="I13" s="8">
        <v>480</v>
      </c>
      <c r="J13" s="6" t="s">
        <v>46</v>
      </c>
      <c r="K13" s="9" t="s">
        <v>0</v>
      </c>
      <c r="L13" s="8">
        <v>463</v>
      </c>
      <c r="M13" s="10">
        <v>5640</v>
      </c>
      <c r="N13" s="10">
        <f t="shared" si="2"/>
        <v>42420</v>
      </c>
    </row>
    <row r="14" spans="1:14" s="11" customFormat="1" ht="21" customHeight="1" x14ac:dyDescent="0.25">
      <c r="A14" s="8"/>
      <c r="B14" s="8"/>
      <c r="C14" s="6" t="s">
        <v>442</v>
      </c>
      <c r="D14" s="9" t="s">
        <v>1</v>
      </c>
      <c r="E14" s="8"/>
      <c r="F14" s="10">
        <v>3000</v>
      </c>
      <c r="G14" s="10">
        <f t="shared" si="1"/>
        <v>270160</v>
      </c>
      <c r="H14" s="8"/>
      <c r="I14" s="8">
        <v>481</v>
      </c>
      <c r="J14" s="6" t="s">
        <v>49</v>
      </c>
      <c r="K14" s="9" t="s">
        <v>0</v>
      </c>
      <c r="L14" s="8">
        <v>460</v>
      </c>
      <c r="M14" s="10">
        <v>8150</v>
      </c>
      <c r="N14" s="10">
        <f t="shared" si="2"/>
        <v>48060</v>
      </c>
    </row>
    <row r="15" spans="1:14" s="11" customFormat="1" ht="21" customHeight="1" x14ac:dyDescent="0.25">
      <c r="A15" s="10"/>
      <c r="B15" s="10"/>
      <c r="C15" s="6" t="s">
        <v>272</v>
      </c>
      <c r="D15" s="9" t="s">
        <v>1</v>
      </c>
      <c r="E15" s="8"/>
      <c r="F15" s="10">
        <v>2920</v>
      </c>
      <c r="G15" s="10">
        <f t="shared" si="1"/>
        <v>273160</v>
      </c>
      <c r="H15" s="10"/>
      <c r="I15" s="8">
        <v>482</v>
      </c>
      <c r="J15" s="6" t="s">
        <v>44</v>
      </c>
      <c r="K15" s="9" t="s">
        <v>0</v>
      </c>
      <c r="L15" s="8">
        <v>545</v>
      </c>
      <c r="M15" s="10">
        <v>11980</v>
      </c>
      <c r="N15" s="10">
        <f t="shared" si="2"/>
        <v>56210</v>
      </c>
    </row>
    <row r="16" spans="1:14" s="11" customFormat="1" ht="21" customHeight="1" x14ac:dyDescent="0.25">
      <c r="A16" s="10"/>
      <c r="B16" s="10"/>
      <c r="C16" s="6" t="s">
        <v>372</v>
      </c>
      <c r="D16" s="9" t="s">
        <v>1</v>
      </c>
      <c r="E16" s="8"/>
      <c r="F16" s="10">
        <v>4700</v>
      </c>
      <c r="G16" s="10">
        <f t="shared" si="1"/>
        <v>276080</v>
      </c>
      <c r="H16" s="10"/>
      <c r="I16" s="8">
        <v>483</v>
      </c>
      <c r="J16" s="6" t="s">
        <v>328</v>
      </c>
      <c r="K16" s="9" t="s">
        <v>0</v>
      </c>
      <c r="L16" s="8">
        <v>462</v>
      </c>
      <c r="M16" s="10">
        <v>12230</v>
      </c>
      <c r="N16" s="10">
        <f t="shared" si="2"/>
        <v>68190</v>
      </c>
    </row>
    <row r="17" spans="1:14" s="11" customFormat="1" ht="21" customHeight="1" x14ac:dyDescent="0.25">
      <c r="A17" s="10"/>
      <c r="B17" s="10"/>
      <c r="C17" s="6" t="s">
        <v>469</v>
      </c>
      <c r="D17" s="9" t="s">
        <v>1</v>
      </c>
      <c r="E17" s="8"/>
      <c r="F17" s="10">
        <v>6100</v>
      </c>
      <c r="G17" s="10">
        <f t="shared" si="1"/>
        <v>280780</v>
      </c>
      <c r="H17" s="10"/>
      <c r="I17" s="8">
        <v>484</v>
      </c>
      <c r="J17" s="6" t="s">
        <v>19</v>
      </c>
      <c r="K17" s="9" t="s">
        <v>0</v>
      </c>
      <c r="L17" s="8">
        <v>546</v>
      </c>
      <c r="M17" s="10">
        <v>15630</v>
      </c>
      <c r="N17" s="10">
        <f t="shared" si="2"/>
        <v>80420</v>
      </c>
    </row>
    <row r="18" spans="1:14" s="11" customFormat="1" ht="21" customHeight="1" x14ac:dyDescent="0.25">
      <c r="A18" s="10"/>
      <c r="B18" s="10"/>
      <c r="C18" s="6" t="s">
        <v>106</v>
      </c>
      <c r="D18" s="9" t="s">
        <v>1</v>
      </c>
      <c r="E18" s="8"/>
      <c r="F18" s="10">
        <v>680</v>
      </c>
      <c r="G18" s="10">
        <f t="shared" si="1"/>
        <v>286880</v>
      </c>
      <c r="H18" s="10"/>
      <c r="I18" s="8">
        <v>485</v>
      </c>
      <c r="J18" s="6" t="s">
        <v>274</v>
      </c>
      <c r="K18" s="9" t="s">
        <v>0</v>
      </c>
      <c r="L18" s="8">
        <v>546</v>
      </c>
      <c r="M18" s="10">
        <v>16430</v>
      </c>
      <c r="N18" s="10">
        <f t="shared" si="2"/>
        <v>96050</v>
      </c>
    </row>
    <row r="19" spans="1:14" s="11" customFormat="1" ht="21" customHeight="1" x14ac:dyDescent="0.25">
      <c r="A19" s="10"/>
      <c r="B19" s="10"/>
      <c r="C19" s="6" t="s">
        <v>19</v>
      </c>
      <c r="D19" s="9" t="s">
        <v>1</v>
      </c>
      <c r="E19" s="8"/>
      <c r="F19" s="10">
        <v>8310</v>
      </c>
      <c r="G19" s="10">
        <f t="shared" si="1"/>
        <v>287560</v>
      </c>
      <c r="H19" s="10"/>
      <c r="I19" s="8">
        <v>486</v>
      </c>
      <c r="J19" s="6" t="s">
        <v>465</v>
      </c>
      <c r="K19" s="9" t="s">
        <v>0</v>
      </c>
      <c r="L19" s="8">
        <v>452</v>
      </c>
      <c r="M19" s="10">
        <v>5940</v>
      </c>
      <c r="N19" s="10">
        <f t="shared" si="2"/>
        <v>112480</v>
      </c>
    </row>
    <row r="20" spans="1:14" s="11" customFormat="1" ht="21" customHeight="1" x14ac:dyDescent="0.25">
      <c r="A20" s="10"/>
      <c r="B20" s="10"/>
      <c r="C20" s="6" t="s">
        <v>199</v>
      </c>
      <c r="D20" s="9" t="s">
        <v>1</v>
      </c>
      <c r="E20" s="8"/>
      <c r="F20" s="10">
        <v>4850</v>
      </c>
      <c r="G20" s="10">
        <f t="shared" si="1"/>
        <v>295870</v>
      </c>
      <c r="H20" s="10"/>
      <c r="I20" s="8">
        <v>487</v>
      </c>
      <c r="J20" s="6" t="s">
        <v>466</v>
      </c>
      <c r="K20" s="9" t="s">
        <v>0</v>
      </c>
      <c r="L20" s="8">
        <v>457</v>
      </c>
      <c r="M20" s="10">
        <v>4040</v>
      </c>
      <c r="N20" s="10">
        <f t="shared" si="2"/>
        <v>118420</v>
      </c>
    </row>
    <row r="21" spans="1:14" s="11" customFormat="1" ht="21" customHeight="1" x14ac:dyDescent="0.25">
      <c r="A21" s="10"/>
      <c r="B21" s="10"/>
      <c r="C21" s="6" t="s">
        <v>111</v>
      </c>
      <c r="D21" s="9" t="s">
        <v>1</v>
      </c>
      <c r="E21" s="8"/>
      <c r="F21" s="10">
        <v>17370</v>
      </c>
      <c r="G21" s="10">
        <f t="shared" si="1"/>
        <v>300720</v>
      </c>
      <c r="H21" s="10"/>
      <c r="I21" s="8">
        <v>488</v>
      </c>
      <c r="J21" s="6" t="s">
        <v>467</v>
      </c>
      <c r="K21" s="9" t="s">
        <v>0</v>
      </c>
      <c r="L21" s="8">
        <v>458</v>
      </c>
      <c r="M21" s="10">
        <v>9400</v>
      </c>
      <c r="N21" s="10">
        <f t="shared" si="2"/>
        <v>122460</v>
      </c>
    </row>
    <row r="22" spans="1:14" s="11" customFormat="1" ht="21" customHeight="1" x14ac:dyDescent="0.25">
      <c r="A22" s="10"/>
      <c r="B22" s="10"/>
      <c r="C22" s="6" t="s">
        <v>110</v>
      </c>
      <c r="D22" s="9" t="s">
        <v>1</v>
      </c>
      <c r="E22" s="8"/>
      <c r="F22" s="10">
        <v>8860</v>
      </c>
      <c r="G22" s="10">
        <f t="shared" si="1"/>
        <v>318090</v>
      </c>
      <c r="H22" s="10"/>
      <c r="I22" s="8">
        <v>489</v>
      </c>
      <c r="J22" s="6" t="s">
        <v>110</v>
      </c>
      <c r="K22" s="9" t="s">
        <v>0</v>
      </c>
      <c r="L22" s="8">
        <v>544</v>
      </c>
      <c r="M22" s="10">
        <v>5680</v>
      </c>
      <c r="N22" s="10">
        <f t="shared" si="2"/>
        <v>131860</v>
      </c>
    </row>
    <row r="23" spans="1:14" s="11" customFormat="1" ht="21" customHeight="1" x14ac:dyDescent="0.25">
      <c r="A23" s="10"/>
      <c r="B23" s="10"/>
      <c r="C23" s="6" t="s">
        <v>334</v>
      </c>
      <c r="D23" s="9" t="s">
        <v>1</v>
      </c>
      <c r="E23" s="8"/>
      <c r="F23" s="10">
        <v>1050</v>
      </c>
      <c r="G23" s="10">
        <f t="shared" si="1"/>
        <v>326950</v>
      </c>
      <c r="H23" s="10"/>
      <c r="I23" s="8">
        <v>490</v>
      </c>
      <c r="J23" s="6" t="s">
        <v>111</v>
      </c>
      <c r="K23" s="9" t="s">
        <v>0</v>
      </c>
      <c r="L23" s="8">
        <v>451</v>
      </c>
      <c r="M23" s="10">
        <v>1520</v>
      </c>
      <c r="N23" s="10">
        <f t="shared" si="2"/>
        <v>137540</v>
      </c>
    </row>
    <row r="24" spans="1:14" s="11" customFormat="1" ht="21" customHeight="1" x14ac:dyDescent="0.25">
      <c r="A24" s="10"/>
      <c r="B24" s="10"/>
      <c r="C24" s="6" t="s">
        <v>360</v>
      </c>
      <c r="D24" s="9" t="s">
        <v>1</v>
      </c>
      <c r="E24" s="8"/>
      <c r="F24" s="10">
        <v>20000</v>
      </c>
      <c r="G24" s="10">
        <f t="shared" si="1"/>
        <v>328000</v>
      </c>
      <c r="H24" s="10"/>
      <c r="I24" s="8">
        <v>491</v>
      </c>
      <c r="J24" s="6" t="s">
        <v>280</v>
      </c>
      <c r="K24" s="9" t="s">
        <v>0</v>
      </c>
      <c r="L24" s="8">
        <v>456</v>
      </c>
      <c r="M24" s="10">
        <v>6480</v>
      </c>
      <c r="N24" s="10">
        <f t="shared" si="2"/>
        <v>139060</v>
      </c>
    </row>
    <row r="25" spans="1:14" s="11" customFormat="1" ht="21" customHeight="1" x14ac:dyDescent="0.25">
      <c r="A25" s="10"/>
      <c r="B25" s="10"/>
      <c r="C25" s="6" t="s">
        <v>39</v>
      </c>
      <c r="D25" s="9" t="s">
        <v>1</v>
      </c>
      <c r="E25" s="8"/>
      <c r="F25" s="10">
        <v>33100</v>
      </c>
      <c r="G25" s="10">
        <f t="shared" si="1"/>
        <v>348000</v>
      </c>
      <c r="H25" s="10"/>
      <c r="I25" s="8">
        <v>492</v>
      </c>
      <c r="J25" s="6" t="s">
        <v>104</v>
      </c>
      <c r="K25" s="9" t="s">
        <v>0</v>
      </c>
      <c r="L25" s="8">
        <v>455</v>
      </c>
      <c r="M25" s="10">
        <v>3220</v>
      </c>
      <c r="N25" s="10">
        <f t="shared" si="2"/>
        <v>145540</v>
      </c>
    </row>
    <row r="26" spans="1:14" s="11" customFormat="1" ht="21" customHeight="1" x14ac:dyDescent="0.25">
      <c r="A26" s="10"/>
      <c r="B26" s="10"/>
      <c r="C26" s="6" t="s">
        <v>470</v>
      </c>
      <c r="D26" s="9" t="s">
        <v>1</v>
      </c>
      <c r="E26" s="8"/>
      <c r="F26" s="10">
        <v>4500</v>
      </c>
      <c r="G26" s="10">
        <f t="shared" si="1"/>
        <v>381100</v>
      </c>
      <c r="H26" s="10"/>
      <c r="I26" s="8">
        <v>493</v>
      </c>
      <c r="J26" s="6" t="s">
        <v>170</v>
      </c>
      <c r="K26" s="9" t="s">
        <v>0</v>
      </c>
      <c r="L26" s="8">
        <v>454</v>
      </c>
      <c r="M26" s="10">
        <v>2990</v>
      </c>
      <c r="N26" s="10">
        <f t="shared" si="2"/>
        <v>148760</v>
      </c>
    </row>
    <row r="27" spans="1:14" s="11" customFormat="1" ht="21" customHeight="1" x14ac:dyDescent="0.25">
      <c r="A27" s="10"/>
      <c r="B27" s="10"/>
      <c r="C27" s="6"/>
      <c r="D27" s="21" t="s">
        <v>1</v>
      </c>
      <c r="E27" s="8"/>
      <c r="F27" s="10"/>
      <c r="G27" s="10">
        <f t="shared" si="1"/>
        <v>385600</v>
      </c>
      <c r="H27" s="10"/>
      <c r="I27" s="8">
        <v>494</v>
      </c>
      <c r="J27" s="6" t="s">
        <v>468</v>
      </c>
      <c r="K27" s="9" t="s">
        <v>0</v>
      </c>
      <c r="L27" s="8">
        <v>453</v>
      </c>
      <c r="M27" s="10">
        <v>2750</v>
      </c>
      <c r="N27" s="10">
        <f t="shared" si="2"/>
        <v>151750</v>
      </c>
    </row>
    <row r="28" spans="1:14" s="11" customFormat="1" ht="21" customHeight="1" x14ac:dyDescent="0.25">
      <c r="A28" s="10"/>
      <c r="B28" s="10"/>
      <c r="C28" s="6"/>
      <c r="D28" s="21" t="s">
        <v>1</v>
      </c>
      <c r="E28" s="8"/>
      <c r="F28" s="10"/>
      <c r="G28" s="22">
        <f t="shared" si="1"/>
        <v>385600</v>
      </c>
      <c r="H28" s="10"/>
      <c r="I28" s="8">
        <v>495</v>
      </c>
      <c r="J28" s="6" t="s">
        <v>269</v>
      </c>
      <c r="K28" s="9" t="s">
        <v>0</v>
      </c>
      <c r="L28" s="8">
        <v>547</v>
      </c>
      <c r="M28" s="10">
        <v>6010</v>
      </c>
      <c r="N28" s="10">
        <f t="shared" si="2"/>
        <v>154500</v>
      </c>
    </row>
    <row r="29" spans="1:14" s="11" customFormat="1" ht="21" customHeight="1" x14ac:dyDescent="0.25">
      <c r="A29" s="10"/>
      <c r="B29" s="10"/>
      <c r="C29" s="6"/>
      <c r="D29" s="21" t="s">
        <v>1</v>
      </c>
      <c r="E29" s="8"/>
      <c r="F29" s="10"/>
      <c r="G29" s="22">
        <f t="shared" si="1"/>
        <v>385600</v>
      </c>
      <c r="H29" s="10"/>
      <c r="I29" s="8">
        <v>496</v>
      </c>
      <c r="J29" s="6" t="s">
        <v>39</v>
      </c>
      <c r="K29" s="9" t="s">
        <v>0</v>
      </c>
      <c r="L29" s="8">
        <v>519</v>
      </c>
      <c r="M29" s="10">
        <v>33100</v>
      </c>
      <c r="N29" s="10">
        <f t="shared" si="2"/>
        <v>160510</v>
      </c>
    </row>
    <row r="30" spans="1:14" s="11" customFormat="1" ht="21" customHeight="1" x14ac:dyDescent="0.25">
      <c r="A30" s="10"/>
      <c r="B30" s="10"/>
      <c r="C30" s="31" t="s">
        <v>472</v>
      </c>
      <c r="D30" s="21" t="s">
        <v>1</v>
      </c>
      <c r="E30" s="8"/>
      <c r="F30" s="10"/>
      <c r="G30" s="22">
        <f t="shared" si="1"/>
        <v>385600</v>
      </c>
      <c r="H30" s="10"/>
      <c r="I30" s="10"/>
      <c r="J30" s="6" t="s">
        <v>343</v>
      </c>
      <c r="K30" s="9" t="s">
        <v>0</v>
      </c>
      <c r="L30" s="8"/>
      <c r="M30" s="10">
        <v>4000</v>
      </c>
      <c r="N30" s="10">
        <f t="shared" si="2"/>
        <v>193610</v>
      </c>
    </row>
    <row r="31" spans="1:14" s="11" customFormat="1" ht="21" customHeight="1" x14ac:dyDescent="0.25">
      <c r="A31" s="10"/>
      <c r="B31" s="10"/>
      <c r="C31" s="31" t="s">
        <v>471</v>
      </c>
      <c r="D31" s="21" t="s">
        <v>1</v>
      </c>
      <c r="E31" s="8"/>
      <c r="F31" s="10"/>
      <c r="G31" s="22">
        <f t="shared" si="1"/>
        <v>385600</v>
      </c>
      <c r="H31" s="10"/>
      <c r="I31" s="10"/>
      <c r="J31" s="6"/>
      <c r="K31" s="21" t="s">
        <v>0</v>
      </c>
      <c r="L31" s="41"/>
      <c r="M31" s="10"/>
      <c r="N31" s="10">
        <f t="shared" si="2"/>
        <v>197610</v>
      </c>
    </row>
    <row r="32" spans="1:14" s="11" customFormat="1" ht="21" customHeight="1" x14ac:dyDescent="0.25">
      <c r="A32" s="10"/>
      <c r="B32" s="10"/>
      <c r="C32" s="6"/>
      <c r="D32" s="21" t="s">
        <v>1</v>
      </c>
      <c r="E32" s="8"/>
      <c r="F32" s="10"/>
      <c r="G32" s="22">
        <f t="shared" si="1"/>
        <v>385600</v>
      </c>
      <c r="H32" s="10"/>
      <c r="I32" s="10"/>
      <c r="J32" s="31" t="s">
        <v>473</v>
      </c>
      <c r="K32" s="21" t="s">
        <v>0</v>
      </c>
      <c r="L32" s="41"/>
      <c r="M32" s="10"/>
      <c r="N32" s="22">
        <f t="shared" si="2"/>
        <v>197610</v>
      </c>
    </row>
    <row r="33" spans="1:14" s="11" customFormat="1" ht="21" customHeight="1" x14ac:dyDescent="0.25">
      <c r="A33" s="10"/>
      <c r="B33" s="10"/>
      <c r="C33" s="6"/>
      <c r="D33" s="21" t="s">
        <v>1</v>
      </c>
      <c r="E33" s="8"/>
      <c r="F33" s="10"/>
      <c r="G33" s="22">
        <f t="shared" si="1"/>
        <v>385600</v>
      </c>
      <c r="H33" s="10"/>
      <c r="I33" s="10"/>
      <c r="J33" s="36" t="s">
        <v>474</v>
      </c>
      <c r="K33" s="21" t="s">
        <v>0</v>
      </c>
      <c r="L33" s="41"/>
      <c r="M33" s="10"/>
      <c r="N33" s="22">
        <f t="shared" si="2"/>
        <v>197610</v>
      </c>
    </row>
    <row r="34" spans="1:14" s="11" customFormat="1" ht="21" customHeight="1" x14ac:dyDescent="0.25">
      <c r="A34" s="10"/>
      <c r="B34" s="10"/>
      <c r="C34" s="6"/>
      <c r="D34" s="21" t="s">
        <v>1</v>
      </c>
      <c r="E34" s="10"/>
      <c r="F34" s="10"/>
      <c r="G34" s="10">
        <f>G33+F33</f>
        <v>385600</v>
      </c>
      <c r="H34" s="10"/>
      <c r="I34" s="10"/>
      <c r="J34" s="31" t="s">
        <v>475</v>
      </c>
      <c r="K34" s="21" t="s">
        <v>0</v>
      </c>
      <c r="L34" s="22"/>
      <c r="M34" s="10"/>
      <c r="N34" s="22">
        <f t="shared" si="2"/>
        <v>197610</v>
      </c>
    </row>
    <row r="35" spans="1:14" ht="31.5" customHeight="1" x14ac:dyDescent="0.25">
      <c r="A35" s="46" t="s">
        <v>9</v>
      </c>
      <c r="B35" s="46"/>
      <c r="C35" s="47"/>
      <c r="D35" s="54">
        <f>G34+F34</f>
        <v>385600</v>
      </c>
      <c r="E35" s="54"/>
      <c r="F35" s="54"/>
      <c r="G35" s="54"/>
      <c r="H35" s="48" t="s">
        <v>10</v>
      </c>
      <c r="I35" s="48"/>
      <c r="J35" s="49"/>
      <c r="K35" s="54">
        <f>N34+M34</f>
        <v>197610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197610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187990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N46"/>
  <sheetViews>
    <sheetView view="pageBreakPreview" topLeftCell="A13" zoomScale="115" zoomScaleNormal="145" zoomScaleSheetLayoutView="115" zoomScalePageLayoutView="85" workbookViewId="0">
      <selection activeCell="C31" sqref="C31:C32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262</v>
      </c>
      <c r="D3" s="58" t="s">
        <v>4</v>
      </c>
      <c r="E3" s="58"/>
      <c r="F3" s="17" t="s">
        <v>3</v>
      </c>
      <c r="G3" s="3">
        <v>45589</v>
      </c>
      <c r="H3" s="57" t="s">
        <v>8</v>
      </c>
      <c r="I3" s="57"/>
      <c r="J3" s="18" t="s">
        <v>262</v>
      </c>
      <c r="K3" s="62" t="s">
        <v>5</v>
      </c>
      <c r="L3" s="62"/>
      <c r="M3" s="17" t="s">
        <v>3</v>
      </c>
      <c r="N3" s="3">
        <v>45589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(23)'!D37</f>
        <v>187990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4730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15440</v>
      </c>
      <c r="G5" s="10">
        <f>F4</f>
        <v>187990</v>
      </c>
      <c r="H5" s="8"/>
      <c r="I5" s="8"/>
      <c r="J5" s="31" t="s">
        <v>54</v>
      </c>
      <c r="K5" s="9" t="s">
        <v>0</v>
      </c>
      <c r="L5" s="8"/>
      <c r="M5" s="10">
        <v>1020</v>
      </c>
      <c r="N5" s="10">
        <f>M4</f>
        <v>4730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120</v>
      </c>
      <c r="G6" s="10">
        <f>G5+F5</f>
        <v>203430</v>
      </c>
      <c r="H6" s="8"/>
      <c r="I6" s="8"/>
      <c r="J6" s="31" t="s">
        <v>100</v>
      </c>
      <c r="K6" s="9" t="s">
        <v>0</v>
      </c>
      <c r="L6" s="8"/>
      <c r="M6" s="10">
        <v>800</v>
      </c>
      <c r="N6" s="10">
        <f t="shared" ref="N6:N34" si="0">N5+M5</f>
        <v>5750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130</v>
      </c>
      <c r="G7" s="10">
        <f t="shared" ref="G7:G33" si="1">G6+F6</f>
        <v>203550</v>
      </c>
      <c r="H7" s="8"/>
      <c r="I7" s="8">
        <v>497</v>
      </c>
      <c r="J7" s="6" t="s">
        <v>173</v>
      </c>
      <c r="K7" s="9" t="s">
        <v>0</v>
      </c>
      <c r="L7" s="8">
        <v>468</v>
      </c>
      <c r="M7" s="10">
        <v>22670</v>
      </c>
      <c r="N7" s="10">
        <f t="shared" si="0"/>
        <v>6550</v>
      </c>
    </row>
    <row r="8" spans="1:14" s="11" customFormat="1" ht="21" customHeight="1" x14ac:dyDescent="0.25">
      <c r="A8" s="8"/>
      <c r="B8" s="8"/>
      <c r="C8" s="6" t="s">
        <v>363</v>
      </c>
      <c r="D8" s="9" t="s">
        <v>1</v>
      </c>
      <c r="E8" s="8"/>
      <c r="F8" s="10">
        <v>2190</v>
      </c>
      <c r="G8" s="10">
        <f t="shared" si="1"/>
        <v>203680</v>
      </c>
      <c r="H8" s="8"/>
      <c r="I8" s="8">
        <v>498</v>
      </c>
      <c r="J8" s="6" t="s">
        <v>175</v>
      </c>
      <c r="K8" s="9" t="s">
        <v>0</v>
      </c>
      <c r="L8" s="8">
        <v>472</v>
      </c>
      <c r="M8" s="10">
        <v>18460</v>
      </c>
      <c r="N8" s="10">
        <f t="shared" si="0"/>
        <v>29220</v>
      </c>
    </row>
    <row r="9" spans="1:14" s="11" customFormat="1" ht="21" customHeight="1" x14ac:dyDescent="0.25">
      <c r="A9" s="8"/>
      <c r="B9" s="8"/>
      <c r="C9" s="6" t="s">
        <v>484</v>
      </c>
      <c r="D9" s="9" t="s">
        <v>1</v>
      </c>
      <c r="E9" s="8"/>
      <c r="F9" s="10">
        <v>250</v>
      </c>
      <c r="G9" s="10">
        <f t="shared" si="1"/>
        <v>205870</v>
      </c>
      <c r="H9" s="8"/>
      <c r="I9" s="8">
        <v>499</v>
      </c>
      <c r="J9" s="6" t="s">
        <v>43</v>
      </c>
      <c r="K9" s="9" t="s">
        <v>0</v>
      </c>
      <c r="L9" s="8">
        <v>471</v>
      </c>
      <c r="M9" s="10">
        <v>22550</v>
      </c>
      <c r="N9" s="10">
        <f t="shared" si="0"/>
        <v>47680</v>
      </c>
    </row>
    <row r="10" spans="1:14" s="11" customFormat="1" ht="21" customHeight="1" x14ac:dyDescent="0.25">
      <c r="A10" s="8"/>
      <c r="B10" s="8"/>
      <c r="C10" s="6" t="s">
        <v>485</v>
      </c>
      <c r="D10" s="9" t="s">
        <v>1</v>
      </c>
      <c r="E10" s="8"/>
      <c r="F10" s="10">
        <v>37390</v>
      </c>
      <c r="G10" s="10">
        <f t="shared" si="1"/>
        <v>206120</v>
      </c>
      <c r="H10" s="8"/>
      <c r="I10" s="8">
        <v>500</v>
      </c>
      <c r="J10" s="6" t="s">
        <v>46</v>
      </c>
      <c r="K10" s="9" t="s">
        <v>0</v>
      </c>
      <c r="L10" s="8">
        <v>467</v>
      </c>
      <c r="M10" s="10">
        <v>61970</v>
      </c>
      <c r="N10" s="10">
        <f t="shared" si="0"/>
        <v>70230</v>
      </c>
    </row>
    <row r="11" spans="1:14" s="11" customFormat="1" ht="21" customHeight="1" x14ac:dyDescent="0.25">
      <c r="A11" s="8"/>
      <c r="B11" s="8"/>
      <c r="C11" s="6" t="s">
        <v>173</v>
      </c>
      <c r="D11" s="9" t="s">
        <v>1</v>
      </c>
      <c r="E11" s="8"/>
      <c r="F11" s="10">
        <v>36500</v>
      </c>
      <c r="G11" s="10">
        <f t="shared" si="1"/>
        <v>243510</v>
      </c>
      <c r="H11" s="8"/>
      <c r="I11" s="8">
        <v>501</v>
      </c>
      <c r="J11" s="6" t="s">
        <v>49</v>
      </c>
      <c r="K11" s="9" t="s">
        <v>0</v>
      </c>
      <c r="L11" s="8">
        <v>475</v>
      </c>
      <c r="M11" s="10">
        <v>32400</v>
      </c>
      <c r="N11" s="10">
        <f t="shared" si="0"/>
        <v>132200</v>
      </c>
    </row>
    <row r="12" spans="1:14" s="11" customFormat="1" ht="21" customHeight="1" x14ac:dyDescent="0.25">
      <c r="A12" s="8"/>
      <c r="B12" s="8"/>
      <c r="C12" s="6" t="s">
        <v>175</v>
      </c>
      <c r="D12" s="9" t="s">
        <v>1</v>
      </c>
      <c r="E12" s="8"/>
      <c r="F12" s="10">
        <v>5690</v>
      </c>
      <c r="G12" s="10">
        <f t="shared" si="1"/>
        <v>280010</v>
      </c>
      <c r="H12" s="8"/>
      <c r="I12" s="8">
        <v>502</v>
      </c>
      <c r="J12" s="6" t="s">
        <v>320</v>
      </c>
      <c r="K12" s="9" t="s">
        <v>0</v>
      </c>
      <c r="L12" s="8">
        <v>469</v>
      </c>
      <c r="M12" s="10">
        <v>46790</v>
      </c>
      <c r="N12" s="10">
        <f t="shared" si="0"/>
        <v>164600</v>
      </c>
    </row>
    <row r="13" spans="1:14" s="11" customFormat="1" ht="21" customHeight="1" x14ac:dyDescent="0.25">
      <c r="A13" s="8"/>
      <c r="B13" s="8"/>
      <c r="C13" s="6" t="s">
        <v>43</v>
      </c>
      <c r="D13" s="9" t="s">
        <v>1</v>
      </c>
      <c r="E13" s="8"/>
      <c r="F13" s="10">
        <v>50000</v>
      </c>
      <c r="G13" s="10">
        <f t="shared" si="1"/>
        <v>285700</v>
      </c>
      <c r="H13" s="8"/>
      <c r="I13" s="8">
        <v>503</v>
      </c>
      <c r="J13" s="6" t="s">
        <v>245</v>
      </c>
      <c r="K13" s="9" t="s">
        <v>0</v>
      </c>
      <c r="L13" s="8">
        <v>486</v>
      </c>
      <c r="M13" s="10">
        <v>3960</v>
      </c>
      <c r="N13" s="10">
        <f t="shared" si="0"/>
        <v>211390</v>
      </c>
    </row>
    <row r="14" spans="1:14" s="11" customFormat="1" ht="21" customHeight="1" x14ac:dyDescent="0.25">
      <c r="A14" s="8"/>
      <c r="B14" s="8"/>
      <c r="C14" s="6" t="s">
        <v>46</v>
      </c>
      <c r="D14" s="9" t="s">
        <v>1</v>
      </c>
      <c r="E14" s="8"/>
      <c r="F14" s="10">
        <v>20000</v>
      </c>
      <c r="G14" s="10">
        <f t="shared" si="1"/>
        <v>335700</v>
      </c>
      <c r="H14" s="8"/>
      <c r="I14" s="8">
        <v>504</v>
      </c>
      <c r="J14" s="6" t="s">
        <v>19</v>
      </c>
      <c r="K14" s="9" t="s">
        <v>0</v>
      </c>
      <c r="L14" s="8">
        <v>477</v>
      </c>
      <c r="M14" s="10">
        <v>11670</v>
      </c>
      <c r="N14" s="10">
        <f t="shared" si="0"/>
        <v>215350</v>
      </c>
    </row>
    <row r="15" spans="1:14" s="11" customFormat="1" ht="21" customHeight="1" x14ac:dyDescent="0.25">
      <c r="A15" s="10"/>
      <c r="B15" s="10"/>
      <c r="C15" s="6" t="s">
        <v>49</v>
      </c>
      <c r="D15" s="9" t="s">
        <v>1</v>
      </c>
      <c r="E15" s="8"/>
      <c r="F15" s="10">
        <v>35000</v>
      </c>
      <c r="G15" s="10">
        <f t="shared" si="1"/>
        <v>355700</v>
      </c>
      <c r="H15" s="10"/>
      <c r="I15" s="8">
        <v>505</v>
      </c>
      <c r="J15" s="6" t="s">
        <v>85</v>
      </c>
      <c r="K15" s="9" t="s">
        <v>0</v>
      </c>
      <c r="L15" s="8">
        <v>466</v>
      </c>
      <c r="M15" s="10">
        <v>19080</v>
      </c>
      <c r="N15" s="10">
        <f t="shared" si="0"/>
        <v>227020</v>
      </c>
    </row>
    <row r="16" spans="1:14" s="11" customFormat="1" ht="21" customHeight="1" x14ac:dyDescent="0.25">
      <c r="A16" s="10"/>
      <c r="B16" s="10"/>
      <c r="C16" s="6" t="s">
        <v>320</v>
      </c>
      <c r="D16" s="9" t="s">
        <v>1</v>
      </c>
      <c r="E16" s="8"/>
      <c r="F16" s="10">
        <v>10000</v>
      </c>
      <c r="G16" s="10">
        <f t="shared" si="1"/>
        <v>390700</v>
      </c>
      <c r="H16" s="10"/>
      <c r="I16" s="8">
        <v>506</v>
      </c>
      <c r="J16" s="6" t="s">
        <v>407</v>
      </c>
      <c r="K16" s="9" t="s">
        <v>0</v>
      </c>
      <c r="L16" s="8">
        <v>480</v>
      </c>
      <c r="M16" s="10">
        <v>35830</v>
      </c>
      <c r="N16" s="10">
        <f t="shared" si="0"/>
        <v>246100</v>
      </c>
    </row>
    <row r="17" spans="1:14" s="11" customFormat="1" ht="21" customHeight="1" x14ac:dyDescent="0.25">
      <c r="A17" s="10"/>
      <c r="B17" s="10"/>
      <c r="C17" s="6" t="s">
        <v>271</v>
      </c>
      <c r="D17" s="9" t="s">
        <v>1</v>
      </c>
      <c r="E17" s="8"/>
      <c r="F17" s="10">
        <v>59000</v>
      </c>
      <c r="G17" s="10">
        <f t="shared" si="1"/>
        <v>400700</v>
      </c>
      <c r="H17" s="10"/>
      <c r="I17" s="8">
        <v>507</v>
      </c>
      <c r="J17" s="6" t="s">
        <v>171</v>
      </c>
      <c r="K17" s="9" t="s">
        <v>0</v>
      </c>
      <c r="L17" s="8">
        <v>481</v>
      </c>
      <c r="M17" s="10">
        <v>10200</v>
      </c>
      <c r="N17" s="10">
        <f t="shared" si="0"/>
        <v>281930</v>
      </c>
    </row>
    <row r="18" spans="1:14" s="11" customFormat="1" ht="21" customHeight="1" x14ac:dyDescent="0.25">
      <c r="A18" s="10"/>
      <c r="B18" s="10"/>
      <c r="C18" s="6" t="s">
        <v>274</v>
      </c>
      <c r="D18" s="9" t="s">
        <v>1</v>
      </c>
      <c r="E18" s="8"/>
      <c r="F18" s="10">
        <v>1230</v>
      </c>
      <c r="G18" s="10">
        <f t="shared" si="1"/>
        <v>459700</v>
      </c>
      <c r="H18" s="10"/>
      <c r="I18" s="8">
        <v>508</v>
      </c>
      <c r="J18" s="6" t="s">
        <v>111</v>
      </c>
      <c r="K18" s="9" t="s">
        <v>0</v>
      </c>
      <c r="L18" s="8">
        <v>478</v>
      </c>
      <c r="M18" s="10">
        <v>3840</v>
      </c>
      <c r="N18" s="10">
        <f t="shared" si="0"/>
        <v>292130</v>
      </c>
    </row>
    <row r="19" spans="1:14" s="11" customFormat="1" ht="21" customHeight="1" x14ac:dyDescent="0.25">
      <c r="A19" s="10"/>
      <c r="B19" s="10"/>
      <c r="C19" s="6" t="s">
        <v>169</v>
      </c>
      <c r="D19" s="9" t="s">
        <v>1</v>
      </c>
      <c r="E19" s="8"/>
      <c r="F19" s="10">
        <v>7840</v>
      </c>
      <c r="G19" s="10">
        <f t="shared" si="1"/>
        <v>460930</v>
      </c>
      <c r="H19" s="10"/>
      <c r="I19" s="8">
        <v>509</v>
      </c>
      <c r="J19" s="6" t="s">
        <v>170</v>
      </c>
      <c r="K19" s="9" t="s">
        <v>0</v>
      </c>
      <c r="L19" s="8">
        <v>479</v>
      </c>
      <c r="M19" s="10">
        <v>2930</v>
      </c>
      <c r="N19" s="10">
        <f t="shared" si="0"/>
        <v>295970</v>
      </c>
    </row>
    <row r="20" spans="1:14" s="11" customFormat="1" ht="21" customHeight="1" x14ac:dyDescent="0.25">
      <c r="A20" s="10"/>
      <c r="B20" s="10"/>
      <c r="C20" s="6" t="s">
        <v>294</v>
      </c>
      <c r="D20" s="9" t="s">
        <v>1</v>
      </c>
      <c r="E20" s="8"/>
      <c r="F20" s="10">
        <v>2860</v>
      </c>
      <c r="G20" s="10">
        <f t="shared" si="1"/>
        <v>468770</v>
      </c>
      <c r="H20" s="10"/>
      <c r="I20" s="8">
        <v>510</v>
      </c>
      <c r="J20" s="6" t="s">
        <v>290</v>
      </c>
      <c r="K20" s="9" t="s">
        <v>0</v>
      </c>
      <c r="L20" s="8">
        <v>473</v>
      </c>
      <c r="M20" s="10">
        <v>27760</v>
      </c>
      <c r="N20" s="10">
        <f t="shared" si="0"/>
        <v>298900</v>
      </c>
    </row>
    <row r="21" spans="1:14" s="11" customFormat="1" ht="21" customHeight="1" x14ac:dyDescent="0.25">
      <c r="A21" s="10"/>
      <c r="B21" s="10"/>
      <c r="C21" s="6" t="s">
        <v>487</v>
      </c>
      <c r="D21" s="9" t="s">
        <v>1</v>
      </c>
      <c r="E21" s="8"/>
      <c r="F21" s="10">
        <v>2750</v>
      </c>
      <c r="G21" s="10">
        <f t="shared" si="1"/>
        <v>471630</v>
      </c>
      <c r="H21" s="10"/>
      <c r="I21" s="8">
        <v>511</v>
      </c>
      <c r="J21" s="6" t="s">
        <v>258</v>
      </c>
      <c r="K21" s="9" t="s">
        <v>0</v>
      </c>
      <c r="L21" s="8">
        <v>485</v>
      </c>
      <c r="M21" s="10">
        <v>4170</v>
      </c>
      <c r="N21" s="10">
        <f t="shared" si="0"/>
        <v>326660</v>
      </c>
    </row>
    <row r="22" spans="1:14" s="11" customFormat="1" ht="21" customHeight="1" x14ac:dyDescent="0.25">
      <c r="A22" s="10"/>
      <c r="B22" s="10"/>
      <c r="C22" s="6" t="s">
        <v>281</v>
      </c>
      <c r="D22" s="9" t="s">
        <v>1</v>
      </c>
      <c r="E22" s="8"/>
      <c r="F22" s="10">
        <v>10560</v>
      </c>
      <c r="G22" s="10">
        <f t="shared" si="1"/>
        <v>474380</v>
      </c>
      <c r="H22" s="10"/>
      <c r="I22" s="8">
        <v>512</v>
      </c>
      <c r="J22" s="6" t="s">
        <v>18</v>
      </c>
      <c r="K22" s="9" t="s">
        <v>0</v>
      </c>
      <c r="L22" s="8">
        <v>476</v>
      </c>
      <c r="M22" s="10">
        <v>8520</v>
      </c>
      <c r="N22" s="10">
        <f t="shared" si="0"/>
        <v>330830</v>
      </c>
    </row>
    <row r="23" spans="1:14" s="11" customFormat="1" ht="21" customHeight="1" x14ac:dyDescent="0.25">
      <c r="A23" s="10"/>
      <c r="B23" s="10"/>
      <c r="C23" s="6" t="s">
        <v>272</v>
      </c>
      <c r="D23" s="9" t="s">
        <v>1</v>
      </c>
      <c r="E23" s="8"/>
      <c r="F23" s="10">
        <v>4040</v>
      </c>
      <c r="G23" s="10">
        <f t="shared" si="1"/>
        <v>484940</v>
      </c>
      <c r="H23" s="10"/>
      <c r="I23" s="8">
        <v>513</v>
      </c>
      <c r="J23" s="6" t="s">
        <v>83</v>
      </c>
      <c r="K23" s="9" t="s">
        <v>0</v>
      </c>
      <c r="L23" s="8">
        <v>474</v>
      </c>
      <c r="M23" s="10">
        <v>7890</v>
      </c>
      <c r="N23" s="10">
        <f t="shared" si="0"/>
        <v>339350</v>
      </c>
    </row>
    <row r="24" spans="1:14" s="11" customFormat="1" ht="21" customHeight="1" x14ac:dyDescent="0.25">
      <c r="A24" s="10"/>
      <c r="B24" s="10"/>
      <c r="C24" s="6" t="s">
        <v>104</v>
      </c>
      <c r="D24" s="9" t="s">
        <v>1</v>
      </c>
      <c r="E24" s="8"/>
      <c r="F24" s="10">
        <v>3220</v>
      </c>
      <c r="G24" s="10">
        <f t="shared" si="1"/>
        <v>488980</v>
      </c>
      <c r="H24" s="10"/>
      <c r="I24" s="8">
        <v>514</v>
      </c>
      <c r="J24" s="6" t="s">
        <v>476</v>
      </c>
      <c r="K24" s="9" t="s">
        <v>0</v>
      </c>
      <c r="L24" s="8">
        <v>482</v>
      </c>
      <c r="M24" s="10">
        <v>2860</v>
      </c>
      <c r="N24" s="10">
        <f t="shared" si="0"/>
        <v>347240</v>
      </c>
    </row>
    <row r="25" spans="1:14" s="11" customFormat="1" ht="21" customHeight="1" x14ac:dyDescent="0.25">
      <c r="A25" s="10"/>
      <c r="B25" s="10"/>
      <c r="C25" s="6" t="s">
        <v>170</v>
      </c>
      <c r="D25" s="9" t="s">
        <v>1</v>
      </c>
      <c r="E25" s="8"/>
      <c r="F25" s="10">
        <v>2990</v>
      </c>
      <c r="G25" s="10">
        <f t="shared" si="1"/>
        <v>492200</v>
      </c>
      <c r="H25" s="10"/>
      <c r="I25" s="8">
        <v>515</v>
      </c>
      <c r="J25" s="6" t="s">
        <v>438</v>
      </c>
      <c r="K25" s="9" t="s">
        <v>0</v>
      </c>
      <c r="L25" s="8">
        <v>483</v>
      </c>
      <c r="M25" s="10">
        <v>2810</v>
      </c>
      <c r="N25" s="10">
        <f t="shared" si="0"/>
        <v>350100</v>
      </c>
    </row>
    <row r="26" spans="1:14" s="11" customFormat="1" ht="21" customHeight="1" x14ac:dyDescent="0.25">
      <c r="A26" s="10"/>
      <c r="B26" s="10"/>
      <c r="C26" s="6" t="s">
        <v>486</v>
      </c>
      <c r="D26" s="9" t="s">
        <v>1</v>
      </c>
      <c r="E26" s="8"/>
      <c r="F26" s="10">
        <v>5940</v>
      </c>
      <c r="G26" s="10">
        <f t="shared" si="1"/>
        <v>495190</v>
      </c>
      <c r="H26" s="10"/>
      <c r="I26" s="8">
        <v>516</v>
      </c>
      <c r="J26" s="6" t="s">
        <v>477</v>
      </c>
      <c r="K26" s="9" t="s">
        <v>0</v>
      </c>
      <c r="L26" s="8">
        <v>484</v>
      </c>
      <c r="M26" s="10">
        <v>2410</v>
      </c>
      <c r="N26" s="10">
        <f t="shared" si="0"/>
        <v>352910</v>
      </c>
    </row>
    <row r="27" spans="1:14" s="11" customFormat="1" ht="21" customHeight="1" x14ac:dyDescent="0.25">
      <c r="A27" s="10"/>
      <c r="B27" s="10"/>
      <c r="C27" s="6" t="s">
        <v>111</v>
      </c>
      <c r="D27" s="9" t="s">
        <v>1</v>
      </c>
      <c r="E27" s="8"/>
      <c r="F27" s="10">
        <v>1520</v>
      </c>
      <c r="G27" s="10">
        <f t="shared" si="1"/>
        <v>501130</v>
      </c>
      <c r="H27" s="10"/>
      <c r="I27" s="8"/>
      <c r="J27" s="6" t="s">
        <v>478</v>
      </c>
      <c r="K27" s="9" t="s">
        <v>0</v>
      </c>
      <c r="L27" s="8"/>
      <c r="M27" s="10">
        <v>50000</v>
      </c>
      <c r="N27" s="10">
        <f t="shared" si="0"/>
        <v>355320</v>
      </c>
    </row>
    <row r="28" spans="1:14" s="11" customFormat="1" ht="21" customHeight="1" x14ac:dyDescent="0.25">
      <c r="A28" s="10"/>
      <c r="B28" s="10"/>
      <c r="C28" s="6" t="s">
        <v>110</v>
      </c>
      <c r="D28" s="9" t="s">
        <v>1</v>
      </c>
      <c r="E28" s="8"/>
      <c r="F28" s="10">
        <v>5680</v>
      </c>
      <c r="G28" s="10">
        <f t="shared" si="1"/>
        <v>502650</v>
      </c>
      <c r="H28" s="10"/>
      <c r="I28" s="8">
        <v>517</v>
      </c>
      <c r="J28" s="6" t="s">
        <v>39</v>
      </c>
      <c r="K28" s="9" t="s">
        <v>0</v>
      </c>
      <c r="L28" s="8">
        <v>464</v>
      </c>
      <c r="M28" s="10">
        <v>37430</v>
      </c>
      <c r="N28" s="10">
        <f t="shared" si="0"/>
        <v>405320</v>
      </c>
    </row>
    <row r="29" spans="1:14" s="11" customFormat="1" ht="21" customHeight="1" x14ac:dyDescent="0.25">
      <c r="A29" s="10"/>
      <c r="B29" s="10"/>
      <c r="C29" s="6" t="s">
        <v>39</v>
      </c>
      <c r="D29" s="9" t="s">
        <v>1</v>
      </c>
      <c r="E29" s="8"/>
      <c r="F29" s="10">
        <v>37430</v>
      </c>
      <c r="G29" s="10">
        <f t="shared" si="1"/>
        <v>508330</v>
      </c>
      <c r="H29" s="10"/>
      <c r="I29" s="10"/>
      <c r="J29" s="6"/>
      <c r="K29" s="21" t="s">
        <v>0</v>
      </c>
      <c r="L29" s="8"/>
      <c r="M29" s="10"/>
      <c r="N29" s="10">
        <f t="shared" si="0"/>
        <v>442750</v>
      </c>
    </row>
    <row r="30" spans="1:14" s="11" customFormat="1" ht="21" customHeight="1" x14ac:dyDescent="0.25">
      <c r="A30" s="10"/>
      <c r="B30" s="10"/>
      <c r="C30" s="10"/>
      <c r="D30" s="21" t="s">
        <v>1</v>
      </c>
      <c r="E30" s="8"/>
      <c r="F30" s="10"/>
      <c r="G30" s="10">
        <f t="shared" si="1"/>
        <v>545760</v>
      </c>
      <c r="H30" s="10"/>
      <c r="I30" s="10"/>
      <c r="J30" s="10"/>
      <c r="K30" s="21" t="s">
        <v>0</v>
      </c>
      <c r="L30" s="8"/>
      <c r="M30" s="10"/>
      <c r="N30" s="22">
        <f t="shared" si="0"/>
        <v>442750</v>
      </c>
    </row>
    <row r="31" spans="1:14" s="11" customFormat="1" ht="21" customHeight="1" x14ac:dyDescent="0.25">
      <c r="A31" s="10"/>
      <c r="B31" s="10"/>
      <c r="C31" s="31" t="s">
        <v>480</v>
      </c>
      <c r="D31" s="21" t="s">
        <v>1</v>
      </c>
      <c r="E31" s="8"/>
      <c r="F31" s="10"/>
      <c r="G31" s="22">
        <f t="shared" si="1"/>
        <v>545760</v>
      </c>
      <c r="H31" s="10"/>
      <c r="I31" s="10"/>
      <c r="J31" s="31" t="s">
        <v>482</v>
      </c>
      <c r="K31" s="21" t="s">
        <v>0</v>
      </c>
      <c r="L31" s="8"/>
      <c r="M31" s="10"/>
      <c r="N31" s="22">
        <f t="shared" si="0"/>
        <v>442750</v>
      </c>
    </row>
    <row r="32" spans="1:14" s="11" customFormat="1" ht="21" customHeight="1" x14ac:dyDescent="0.25">
      <c r="A32" s="10"/>
      <c r="B32" s="10"/>
      <c r="C32" s="31" t="s">
        <v>481</v>
      </c>
      <c r="D32" s="21" t="s">
        <v>1</v>
      </c>
      <c r="E32" s="8"/>
      <c r="F32" s="10"/>
      <c r="G32" s="22">
        <f t="shared" si="1"/>
        <v>545760</v>
      </c>
      <c r="H32" s="10"/>
      <c r="I32" s="10"/>
      <c r="J32" s="36" t="s">
        <v>479</v>
      </c>
      <c r="K32" s="21" t="s">
        <v>0</v>
      </c>
      <c r="L32" s="8"/>
      <c r="M32" s="10"/>
      <c r="N32" s="22">
        <f t="shared" si="0"/>
        <v>442750</v>
      </c>
    </row>
    <row r="33" spans="1:14" s="11" customFormat="1" ht="21" customHeight="1" x14ac:dyDescent="0.25">
      <c r="A33" s="10"/>
      <c r="B33" s="10"/>
      <c r="C33" s="10"/>
      <c r="D33" s="21" t="s">
        <v>1</v>
      </c>
      <c r="E33" s="8"/>
      <c r="F33" s="10"/>
      <c r="G33" s="22">
        <f t="shared" si="1"/>
        <v>545760</v>
      </c>
      <c r="H33" s="10"/>
      <c r="I33" s="10"/>
      <c r="J33" s="31" t="s">
        <v>483</v>
      </c>
      <c r="K33" s="21" t="s">
        <v>0</v>
      </c>
      <c r="L33" s="8"/>
      <c r="M33" s="10"/>
      <c r="N33" s="22">
        <f t="shared" si="0"/>
        <v>442750</v>
      </c>
    </row>
    <row r="34" spans="1:14" s="11" customFormat="1" ht="21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545760</v>
      </c>
      <c r="H34" s="10"/>
      <c r="I34" s="10"/>
      <c r="J34" s="10"/>
      <c r="K34" s="21" t="s">
        <v>0</v>
      </c>
      <c r="L34" s="10"/>
      <c r="M34" s="10"/>
      <c r="N34" s="22">
        <f t="shared" si="0"/>
        <v>442750</v>
      </c>
    </row>
    <row r="35" spans="1:14" ht="31.5" customHeight="1" x14ac:dyDescent="0.25">
      <c r="A35" s="46" t="s">
        <v>9</v>
      </c>
      <c r="B35" s="46"/>
      <c r="C35" s="47"/>
      <c r="D35" s="54">
        <f>G34+F34</f>
        <v>545760</v>
      </c>
      <c r="E35" s="54"/>
      <c r="F35" s="54"/>
      <c r="G35" s="54"/>
      <c r="H35" s="48" t="s">
        <v>10</v>
      </c>
      <c r="I35" s="48"/>
      <c r="J35" s="49"/>
      <c r="K35" s="54">
        <f>N34+M34</f>
        <v>442750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442750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103010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N46"/>
  <sheetViews>
    <sheetView view="pageBreakPreview" topLeftCell="F16" zoomScale="115" zoomScaleNormal="145" zoomScaleSheetLayoutView="115" zoomScalePageLayoutView="85" workbookViewId="0">
      <selection activeCell="J26" sqref="J26:J2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13</v>
      </c>
      <c r="D3" s="58" t="s">
        <v>4</v>
      </c>
      <c r="E3" s="58"/>
      <c r="F3" s="17" t="s">
        <v>3</v>
      </c>
      <c r="G3" s="3">
        <v>45590</v>
      </c>
      <c r="H3" s="57" t="s">
        <v>8</v>
      </c>
      <c r="I3" s="57"/>
      <c r="J3" s="18" t="s">
        <v>13</v>
      </c>
      <c r="K3" s="62" t="s">
        <v>5</v>
      </c>
      <c r="L3" s="62"/>
      <c r="M3" s="17" t="s">
        <v>3</v>
      </c>
      <c r="N3" s="3">
        <v>45590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(24)'!D37</f>
        <v>103010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110</v>
      </c>
      <c r="N4" s="8" t="s">
        <v>2</v>
      </c>
    </row>
    <row r="5" spans="1:14" s="11" customFormat="1" ht="19.5" customHeight="1" x14ac:dyDescent="0.25">
      <c r="A5" s="8"/>
      <c r="B5" s="8"/>
      <c r="C5" s="31" t="s">
        <v>14</v>
      </c>
      <c r="D5" s="9" t="s">
        <v>1</v>
      </c>
      <c r="E5" s="8"/>
      <c r="F5" s="10">
        <v>3820</v>
      </c>
      <c r="G5" s="10">
        <f>F4</f>
        <v>103010</v>
      </c>
      <c r="H5" s="8"/>
      <c r="I5" s="8"/>
      <c r="J5" s="31" t="s">
        <v>54</v>
      </c>
      <c r="K5" s="9" t="s">
        <v>0</v>
      </c>
      <c r="L5" s="8"/>
      <c r="M5" s="10">
        <v>470</v>
      </c>
      <c r="N5" s="10">
        <f>M4</f>
        <v>110</v>
      </c>
    </row>
    <row r="6" spans="1:14" s="11" customFormat="1" ht="19.5" customHeight="1" x14ac:dyDescent="0.25">
      <c r="A6" s="8"/>
      <c r="B6" s="8"/>
      <c r="C6" s="31" t="s">
        <v>16</v>
      </c>
      <c r="D6" s="9" t="s">
        <v>1</v>
      </c>
      <c r="E6" s="8"/>
      <c r="F6" s="10">
        <v>50</v>
      </c>
      <c r="G6" s="10">
        <f>G5+F5</f>
        <v>106830</v>
      </c>
      <c r="H6" s="8"/>
      <c r="I6" s="8"/>
      <c r="J6" s="31" t="s">
        <v>100</v>
      </c>
      <c r="K6" s="9" t="s">
        <v>0</v>
      </c>
      <c r="L6" s="8"/>
      <c r="M6" s="10">
        <v>650</v>
      </c>
      <c r="N6" s="10">
        <f t="shared" ref="N6" si="0">N5+M5</f>
        <v>580</v>
      </c>
    </row>
    <row r="7" spans="1:14" s="11" customFormat="1" ht="19.5" customHeight="1" x14ac:dyDescent="0.25">
      <c r="A7" s="8"/>
      <c r="B7" s="8"/>
      <c r="C7" s="31" t="s">
        <v>15</v>
      </c>
      <c r="D7" s="9" t="s">
        <v>1</v>
      </c>
      <c r="E7" s="8"/>
      <c r="F7" s="10">
        <v>50</v>
      </c>
      <c r="G7" s="10">
        <f t="shared" ref="G7:G33" si="1">G6+F6</f>
        <v>106880</v>
      </c>
      <c r="H7" s="8"/>
      <c r="I7" s="8">
        <v>518</v>
      </c>
      <c r="J7" s="6" t="s">
        <v>488</v>
      </c>
      <c r="K7" s="9" t="s">
        <v>0</v>
      </c>
      <c r="L7" s="8">
        <v>488</v>
      </c>
      <c r="M7" s="10">
        <v>3360</v>
      </c>
      <c r="N7" s="10">
        <f>N6+M6</f>
        <v>1230</v>
      </c>
    </row>
    <row r="8" spans="1:14" s="11" customFormat="1" ht="19.5" customHeight="1" x14ac:dyDescent="0.25">
      <c r="A8" s="8"/>
      <c r="B8" s="8"/>
      <c r="C8" s="6" t="s">
        <v>491</v>
      </c>
      <c r="D8" s="9" t="s">
        <v>1</v>
      </c>
      <c r="E8" s="8"/>
      <c r="F8" s="10">
        <v>500</v>
      </c>
      <c r="G8" s="10">
        <f t="shared" si="1"/>
        <v>106930</v>
      </c>
      <c r="H8" s="8"/>
      <c r="I8" s="8">
        <v>519</v>
      </c>
      <c r="J8" s="6" t="s">
        <v>489</v>
      </c>
      <c r="K8" s="9" t="s">
        <v>0</v>
      </c>
      <c r="L8" s="8">
        <v>490</v>
      </c>
      <c r="M8" s="10">
        <v>7050</v>
      </c>
      <c r="N8" s="10">
        <f t="shared" ref="N8:N34" si="2">N7+M7</f>
        <v>4590</v>
      </c>
    </row>
    <row r="9" spans="1:14" s="11" customFormat="1" ht="19.5" customHeight="1" x14ac:dyDescent="0.25">
      <c r="A9" s="8"/>
      <c r="B9" s="8"/>
      <c r="C9" s="6" t="s">
        <v>39</v>
      </c>
      <c r="D9" s="9" t="s">
        <v>1</v>
      </c>
      <c r="E9" s="8"/>
      <c r="F9" s="10">
        <v>1420</v>
      </c>
      <c r="G9" s="10">
        <f t="shared" si="1"/>
        <v>107430</v>
      </c>
      <c r="H9" s="8"/>
      <c r="I9" s="8">
        <v>520</v>
      </c>
      <c r="J9" s="6" t="s">
        <v>490</v>
      </c>
      <c r="K9" s="9" t="s">
        <v>0</v>
      </c>
      <c r="L9" s="8">
        <v>489</v>
      </c>
      <c r="M9" s="10">
        <v>1950</v>
      </c>
      <c r="N9" s="10">
        <f t="shared" si="2"/>
        <v>11640</v>
      </c>
    </row>
    <row r="10" spans="1:14" s="11" customFormat="1" ht="19.5" customHeight="1" x14ac:dyDescent="0.25">
      <c r="A10" s="8"/>
      <c r="B10" s="8"/>
      <c r="C10" s="6" t="s">
        <v>344</v>
      </c>
      <c r="D10" s="9" t="s">
        <v>1</v>
      </c>
      <c r="E10" s="8"/>
      <c r="F10" s="10">
        <v>10350</v>
      </c>
      <c r="G10" s="10">
        <f t="shared" si="1"/>
        <v>108850</v>
      </c>
      <c r="H10" s="8"/>
      <c r="I10" s="8">
        <v>521</v>
      </c>
      <c r="J10" s="6" t="s">
        <v>83</v>
      </c>
      <c r="K10" s="9" t="s">
        <v>0</v>
      </c>
      <c r="L10" s="8">
        <v>491</v>
      </c>
      <c r="M10" s="10">
        <v>3130</v>
      </c>
      <c r="N10" s="10">
        <f t="shared" si="2"/>
        <v>13590</v>
      </c>
    </row>
    <row r="11" spans="1:14" s="11" customFormat="1" ht="19.5" customHeight="1" x14ac:dyDescent="0.25">
      <c r="A11" s="8"/>
      <c r="B11" s="8"/>
      <c r="C11" s="6" t="s">
        <v>320</v>
      </c>
      <c r="D11" s="9" t="s">
        <v>1</v>
      </c>
      <c r="E11" s="8"/>
      <c r="F11" s="10">
        <v>10000</v>
      </c>
      <c r="G11" s="10">
        <f t="shared" si="1"/>
        <v>119200</v>
      </c>
      <c r="H11" s="8"/>
      <c r="I11" s="8">
        <v>522</v>
      </c>
      <c r="J11" s="6" t="s">
        <v>291</v>
      </c>
      <c r="K11" s="9" t="s">
        <v>0</v>
      </c>
      <c r="L11" s="8">
        <v>492</v>
      </c>
      <c r="M11" s="10">
        <v>2850</v>
      </c>
      <c r="N11" s="10">
        <f t="shared" si="2"/>
        <v>16720</v>
      </c>
    </row>
    <row r="12" spans="1:14" s="11" customFormat="1" ht="19.5" customHeight="1" x14ac:dyDescent="0.25">
      <c r="A12" s="8"/>
      <c r="B12" s="8"/>
      <c r="C12" s="6" t="s">
        <v>245</v>
      </c>
      <c r="D12" s="9" t="s">
        <v>1</v>
      </c>
      <c r="E12" s="8"/>
      <c r="F12" s="10">
        <v>50000</v>
      </c>
      <c r="G12" s="10">
        <f t="shared" si="1"/>
        <v>129200</v>
      </c>
      <c r="H12" s="8"/>
      <c r="I12" s="8">
        <v>523</v>
      </c>
      <c r="J12" s="6" t="s">
        <v>87</v>
      </c>
      <c r="K12" s="9" t="s">
        <v>0</v>
      </c>
      <c r="L12" s="8">
        <v>494</v>
      </c>
      <c r="M12" s="10">
        <v>4750</v>
      </c>
      <c r="N12" s="10">
        <f t="shared" si="2"/>
        <v>19570</v>
      </c>
    </row>
    <row r="13" spans="1:14" s="11" customFormat="1" ht="19.5" customHeight="1" x14ac:dyDescent="0.25">
      <c r="A13" s="8"/>
      <c r="B13" s="8"/>
      <c r="C13" s="6" t="s">
        <v>360</v>
      </c>
      <c r="D13" s="9" t="s">
        <v>1</v>
      </c>
      <c r="E13" s="8"/>
      <c r="F13" s="10">
        <v>10000</v>
      </c>
      <c r="G13" s="10">
        <f t="shared" si="1"/>
        <v>179200</v>
      </c>
      <c r="H13" s="8"/>
      <c r="I13" s="8">
        <v>524</v>
      </c>
      <c r="J13" s="6" t="s">
        <v>86</v>
      </c>
      <c r="K13" s="9" t="s">
        <v>0</v>
      </c>
      <c r="L13" s="8">
        <v>495</v>
      </c>
      <c r="M13" s="10">
        <v>3210</v>
      </c>
      <c r="N13" s="10">
        <f t="shared" si="2"/>
        <v>24320</v>
      </c>
    </row>
    <row r="14" spans="1:14" s="11" customFormat="1" ht="19.5" customHeight="1" x14ac:dyDescent="0.25">
      <c r="A14" s="8"/>
      <c r="B14" s="8"/>
      <c r="C14" s="6" t="s">
        <v>407</v>
      </c>
      <c r="D14" s="9" t="s">
        <v>1</v>
      </c>
      <c r="E14" s="8"/>
      <c r="F14" s="10">
        <v>30000</v>
      </c>
      <c r="G14" s="10">
        <f t="shared" si="1"/>
        <v>189200</v>
      </c>
      <c r="H14" s="8"/>
      <c r="I14" s="8">
        <v>525</v>
      </c>
      <c r="J14" s="6" t="s">
        <v>281</v>
      </c>
      <c r="K14" s="9" t="s">
        <v>0</v>
      </c>
      <c r="L14" s="8">
        <v>496</v>
      </c>
      <c r="M14" s="10">
        <v>3620</v>
      </c>
      <c r="N14" s="10">
        <f t="shared" si="2"/>
        <v>27530</v>
      </c>
    </row>
    <row r="15" spans="1:14" s="11" customFormat="1" ht="19.5" customHeight="1" x14ac:dyDescent="0.25">
      <c r="A15" s="10"/>
      <c r="B15" s="10"/>
      <c r="C15" s="6" t="s">
        <v>274</v>
      </c>
      <c r="D15" s="9" t="s">
        <v>1</v>
      </c>
      <c r="E15" s="8"/>
      <c r="F15" s="10">
        <v>16000</v>
      </c>
      <c r="G15" s="10">
        <f t="shared" si="1"/>
        <v>219200</v>
      </c>
      <c r="H15" s="10"/>
      <c r="I15" s="8">
        <v>526</v>
      </c>
      <c r="J15" s="6" t="s">
        <v>18</v>
      </c>
      <c r="K15" s="9" t="s">
        <v>0</v>
      </c>
      <c r="L15" s="8">
        <v>497</v>
      </c>
      <c r="M15" s="10">
        <v>4200</v>
      </c>
      <c r="N15" s="10">
        <f t="shared" si="2"/>
        <v>31150</v>
      </c>
    </row>
    <row r="16" spans="1:14" s="11" customFormat="1" ht="19.5" customHeight="1" x14ac:dyDescent="0.25">
      <c r="A16" s="10"/>
      <c r="B16" s="10"/>
      <c r="C16" s="6" t="s">
        <v>290</v>
      </c>
      <c r="D16" s="9" t="s">
        <v>1</v>
      </c>
      <c r="E16" s="8"/>
      <c r="F16" s="10">
        <v>32210</v>
      </c>
      <c r="G16" s="10">
        <f t="shared" si="1"/>
        <v>235200</v>
      </c>
      <c r="H16" s="10"/>
      <c r="I16" s="8">
        <v>527</v>
      </c>
      <c r="J16" s="6" t="s">
        <v>85</v>
      </c>
      <c r="K16" s="9" t="s">
        <v>0</v>
      </c>
      <c r="L16" s="8">
        <v>487</v>
      </c>
      <c r="M16" s="10">
        <v>37390</v>
      </c>
      <c r="N16" s="10">
        <f t="shared" si="2"/>
        <v>35350</v>
      </c>
    </row>
    <row r="17" spans="1:14" s="11" customFormat="1" ht="19.5" customHeight="1" x14ac:dyDescent="0.25">
      <c r="A17" s="10"/>
      <c r="B17" s="10"/>
      <c r="C17" s="6" t="s">
        <v>273</v>
      </c>
      <c r="D17" s="9" t="s">
        <v>1</v>
      </c>
      <c r="E17" s="8"/>
      <c r="F17" s="10">
        <v>8420</v>
      </c>
      <c r="G17" s="10">
        <f t="shared" si="1"/>
        <v>267410</v>
      </c>
      <c r="H17" s="10"/>
      <c r="I17" s="8">
        <v>528</v>
      </c>
      <c r="J17" s="6" t="s">
        <v>111</v>
      </c>
      <c r="K17" s="9" t="s">
        <v>0</v>
      </c>
      <c r="L17" s="8">
        <v>493</v>
      </c>
      <c r="M17" s="10">
        <v>3100</v>
      </c>
      <c r="N17" s="10">
        <f t="shared" si="2"/>
        <v>72740</v>
      </c>
    </row>
    <row r="18" spans="1:14" s="11" customFormat="1" ht="19.5" customHeight="1" x14ac:dyDescent="0.25">
      <c r="A18" s="10"/>
      <c r="B18" s="10"/>
      <c r="C18" s="6" t="s">
        <v>50</v>
      </c>
      <c r="D18" s="9" t="s">
        <v>1</v>
      </c>
      <c r="E18" s="8"/>
      <c r="F18" s="10">
        <v>7200</v>
      </c>
      <c r="G18" s="10">
        <f t="shared" si="1"/>
        <v>275830</v>
      </c>
      <c r="H18" s="10"/>
      <c r="I18" s="8">
        <v>529</v>
      </c>
      <c r="J18" s="6" t="s">
        <v>290</v>
      </c>
      <c r="K18" s="9" t="s">
        <v>0</v>
      </c>
      <c r="L18" s="8">
        <v>498</v>
      </c>
      <c r="M18" s="10">
        <v>19620</v>
      </c>
      <c r="N18" s="10">
        <f t="shared" si="2"/>
        <v>75840</v>
      </c>
    </row>
    <row r="19" spans="1:14" s="11" customFormat="1" ht="19.5" customHeight="1" x14ac:dyDescent="0.25">
      <c r="A19" s="10"/>
      <c r="B19" s="10"/>
      <c r="C19" s="6" t="s">
        <v>279</v>
      </c>
      <c r="D19" s="9" t="s">
        <v>1</v>
      </c>
      <c r="E19" s="8"/>
      <c r="F19" s="10">
        <v>2550</v>
      </c>
      <c r="G19" s="10">
        <f t="shared" si="1"/>
        <v>283030</v>
      </c>
      <c r="H19" s="10"/>
      <c r="I19" s="8">
        <v>530</v>
      </c>
      <c r="J19" s="6" t="s">
        <v>39</v>
      </c>
      <c r="K19" s="9" t="s">
        <v>0</v>
      </c>
      <c r="L19" s="8">
        <v>484</v>
      </c>
      <c r="M19" s="10">
        <v>1420</v>
      </c>
      <c r="N19" s="10">
        <f t="shared" si="2"/>
        <v>95460</v>
      </c>
    </row>
    <row r="20" spans="1:14" s="11" customFormat="1" ht="19.5" customHeight="1" x14ac:dyDescent="0.25">
      <c r="A20" s="10"/>
      <c r="B20" s="10"/>
      <c r="C20" s="6" t="s">
        <v>334</v>
      </c>
      <c r="D20" s="9" t="s">
        <v>1</v>
      </c>
      <c r="E20" s="8"/>
      <c r="F20" s="10">
        <v>8000</v>
      </c>
      <c r="G20" s="10">
        <f t="shared" si="1"/>
        <v>285580</v>
      </c>
      <c r="H20" s="10"/>
      <c r="I20" s="10"/>
      <c r="J20" s="6"/>
      <c r="K20" s="21" t="s">
        <v>0</v>
      </c>
      <c r="L20" s="8"/>
      <c r="M20" s="10"/>
      <c r="N20" s="10">
        <f t="shared" si="2"/>
        <v>96880</v>
      </c>
    </row>
    <row r="21" spans="1:14" s="11" customFormat="1" ht="19.5" customHeight="1" x14ac:dyDescent="0.25">
      <c r="A21" s="10"/>
      <c r="B21" s="10"/>
      <c r="C21" s="6" t="s">
        <v>280</v>
      </c>
      <c r="D21" s="9" t="s">
        <v>1</v>
      </c>
      <c r="E21" s="8"/>
      <c r="F21" s="10">
        <v>6480</v>
      </c>
      <c r="G21" s="10">
        <f t="shared" si="1"/>
        <v>293580</v>
      </c>
      <c r="H21" s="10"/>
      <c r="I21" s="10"/>
      <c r="J21" s="6"/>
      <c r="K21" s="21" t="s">
        <v>0</v>
      </c>
      <c r="L21" s="8"/>
      <c r="M21" s="10"/>
      <c r="N21" s="22">
        <f t="shared" si="2"/>
        <v>96880</v>
      </c>
    </row>
    <row r="22" spans="1:14" s="11" customFormat="1" ht="19.5" customHeight="1" x14ac:dyDescent="0.25">
      <c r="A22" s="10"/>
      <c r="B22" s="10"/>
      <c r="C22" s="6" t="s">
        <v>492</v>
      </c>
      <c r="D22" s="9" t="s">
        <v>1</v>
      </c>
      <c r="E22" s="8"/>
      <c r="F22" s="10">
        <v>2750</v>
      </c>
      <c r="G22" s="10">
        <f t="shared" si="1"/>
        <v>300060</v>
      </c>
      <c r="H22" s="10"/>
      <c r="I22" s="10"/>
      <c r="J22" s="6"/>
      <c r="K22" s="21" t="s">
        <v>0</v>
      </c>
      <c r="L22" s="8"/>
      <c r="M22" s="10"/>
      <c r="N22" s="22">
        <f t="shared" si="2"/>
        <v>96880</v>
      </c>
    </row>
    <row r="23" spans="1:14" s="11" customFormat="1" ht="19.5" customHeight="1" x14ac:dyDescent="0.25">
      <c r="A23" s="10"/>
      <c r="B23" s="10"/>
      <c r="C23" s="6" t="s">
        <v>493</v>
      </c>
      <c r="D23" s="9" t="s">
        <v>1</v>
      </c>
      <c r="E23" s="8"/>
      <c r="F23" s="10">
        <v>6010</v>
      </c>
      <c r="G23" s="10">
        <f t="shared" si="1"/>
        <v>302810</v>
      </c>
      <c r="H23" s="10"/>
      <c r="I23" s="10"/>
      <c r="J23" s="6"/>
      <c r="K23" s="21" t="s">
        <v>0</v>
      </c>
      <c r="L23" s="8"/>
      <c r="M23" s="10"/>
      <c r="N23" s="22">
        <f t="shared" si="2"/>
        <v>96880</v>
      </c>
    </row>
    <row r="24" spans="1:14" s="11" customFormat="1" ht="19.5" customHeight="1" x14ac:dyDescent="0.25">
      <c r="A24" s="10"/>
      <c r="B24" s="10"/>
      <c r="C24" s="6" t="s">
        <v>19</v>
      </c>
      <c r="D24" s="9" t="s">
        <v>1</v>
      </c>
      <c r="E24" s="8"/>
      <c r="F24" s="10">
        <v>27300</v>
      </c>
      <c r="G24" s="10">
        <f t="shared" si="1"/>
        <v>308820</v>
      </c>
      <c r="H24" s="10"/>
      <c r="I24" s="10"/>
      <c r="J24" s="6"/>
      <c r="K24" s="21" t="s">
        <v>0</v>
      </c>
      <c r="L24" s="8"/>
      <c r="M24" s="10"/>
      <c r="N24" s="22">
        <f t="shared" si="2"/>
        <v>96880</v>
      </c>
    </row>
    <row r="25" spans="1:14" s="11" customFormat="1" ht="19.5" customHeight="1" x14ac:dyDescent="0.25">
      <c r="A25" s="10"/>
      <c r="B25" s="10"/>
      <c r="C25" s="6" t="s">
        <v>171</v>
      </c>
      <c r="D25" s="9" t="s">
        <v>1</v>
      </c>
      <c r="E25" s="8"/>
      <c r="F25" s="10">
        <v>10200</v>
      </c>
      <c r="G25" s="10">
        <f t="shared" si="1"/>
        <v>336120</v>
      </c>
      <c r="H25" s="10"/>
      <c r="I25" s="10"/>
      <c r="J25" s="6"/>
      <c r="K25" s="21" t="s">
        <v>0</v>
      </c>
      <c r="L25" s="8"/>
      <c r="M25" s="10"/>
      <c r="N25" s="22">
        <f t="shared" si="2"/>
        <v>96880</v>
      </c>
    </row>
    <row r="26" spans="1:14" s="11" customFormat="1" ht="19.5" customHeight="1" x14ac:dyDescent="0.25">
      <c r="A26" s="10"/>
      <c r="B26" s="10"/>
      <c r="C26" s="6" t="s">
        <v>170</v>
      </c>
      <c r="D26" s="9" t="s">
        <v>1</v>
      </c>
      <c r="E26" s="8"/>
      <c r="F26" s="10">
        <v>2930</v>
      </c>
      <c r="G26" s="10">
        <f t="shared" si="1"/>
        <v>346320</v>
      </c>
      <c r="H26" s="10"/>
      <c r="I26" s="10"/>
      <c r="J26" s="31" t="s">
        <v>495</v>
      </c>
      <c r="K26" s="21" t="s">
        <v>0</v>
      </c>
      <c r="L26" s="8"/>
      <c r="M26" s="10"/>
      <c r="N26" s="22">
        <f t="shared" si="2"/>
        <v>96880</v>
      </c>
    </row>
    <row r="27" spans="1:14" s="11" customFormat="1" ht="19.5" customHeight="1" x14ac:dyDescent="0.25">
      <c r="A27" s="10"/>
      <c r="B27" s="10"/>
      <c r="C27" s="6" t="s">
        <v>111</v>
      </c>
      <c r="D27" s="9" t="s">
        <v>1</v>
      </c>
      <c r="E27" s="8"/>
      <c r="F27" s="10">
        <v>3840</v>
      </c>
      <c r="G27" s="10">
        <f t="shared" si="1"/>
        <v>349250</v>
      </c>
      <c r="H27" s="10"/>
      <c r="I27" s="10"/>
      <c r="J27" s="36" t="s">
        <v>496</v>
      </c>
      <c r="K27" s="21" t="s">
        <v>0</v>
      </c>
      <c r="L27" s="8"/>
      <c r="M27" s="10"/>
      <c r="N27" s="22">
        <f t="shared" si="2"/>
        <v>96880</v>
      </c>
    </row>
    <row r="28" spans="1:14" s="11" customFormat="1" ht="19.5" customHeight="1" x14ac:dyDescent="0.25">
      <c r="A28" s="10"/>
      <c r="B28" s="10"/>
      <c r="C28" s="6" t="s">
        <v>18</v>
      </c>
      <c r="D28" s="9" t="s">
        <v>1</v>
      </c>
      <c r="E28" s="8"/>
      <c r="F28" s="10">
        <v>8520</v>
      </c>
      <c r="G28" s="10">
        <f t="shared" si="1"/>
        <v>353090</v>
      </c>
      <c r="H28" s="10"/>
      <c r="I28" s="10"/>
      <c r="J28" s="31" t="s">
        <v>497</v>
      </c>
      <c r="K28" s="21" t="s">
        <v>0</v>
      </c>
      <c r="L28" s="8"/>
      <c r="M28" s="10"/>
      <c r="N28" s="22">
        <f t="shared" si="2"/>
        <v>96880</v>
      </c>
    </row>
    <row r="29" spans="1:14" s="11" customFormat="1" ht="19.5" customHeight="1" x14ac:dyDescent="0.25">
      <c r="A29" s="10"/>
      <c r="B29" s="10"/>
      <c r="C29" s="6" t="s">
        <v>83</v>
      </c>
      <c r="D29" s="9" t="s">
        <v>1</v>
      </c>
      <c r="E29" s="8"/>
      <c r="F29" s="10">
        <v>7890</v>
      </c>
      <c r="G29" s="10">
        <f t="shared" si="1"/>
        <v>361610</v>
      </c>
      <c r="H29" s="10"/>
      <c r="I29" s="10"/>
      <c r="J29" s="6"/>
      <c r="K29" s="21" t="s">
        <v>0</v>
      </c>
      <c r="L29" s="8"/>
      <c r="M29" s="10"/>
      <c r="N29" s="22">
        <f t="shared" si="2"/>
        <v>96880</v>
      </c>
    </row>
    <row r="30" spans="1:14" s="11" customFormat="1" ht="19.5" customHeight="1" x14ac:dyDescent="0.25">
      <c r="A30" s="10"/>
      <c r="B30" s="10"/>
      <c r="C30" s="6" t="s">
        <v>494</v>
      </c>
      <c r="D30" s="9" t="s">
        <v>1</v>
      </c>
      <c r="E30" s="8"/>
      <c r="F30" s="10">
        <v>2860</v>
      </c>
      <c r="G30" s="10">
        <f t="shared" si="1"/>
        <v>369500</v>
      </c>
      <c r="H30" s="10"/>
      <c r="I30" s="10"/>
      <c r="J30" s="6"/>
      <c r="K30" s="21" t="s">
        <v>0</v>
      </c>
      <c r="L30" s="8"/>
      <c r="M30" s="10"/>
      <c r="N30" s="22">
        <f t="shared" si="2"/>
        <v>96880</v>
      </c>
    </row>
    <row r="31" spans="1:14" s="11" customFormat="1" ht="19.5" customHeight="1" x14ac:dyDescent="0.25">
      <c r="A31" s="10"/>
      <c r="B31" s="10"/>
      <c r="C31" s="6" t="s">
        <v>438</v>
      </c>
      <c r="D31" s="9" t="s">
        <v>1</v>
      </c>
      <c r="E31" s="8"/>
      <c r="F31" s="10">
        <v>2810</v>
      </c>
      <c r="G31" s="10">
        <f t="shared" si="1"/>
        <v>372360</v>
      </c>
      <c r="H31" s="10"/>
      <c r="I31" s="10"/>
      <c r="J31" s="10"/>
      <c r="K31" s="21" t="s">
        <v>0</v>
      </c>
      <c r="L31" s="8"/>
      <c r="M31" s="10"/>
      <c r="N31" s="22">
        <f t="shared" si="2"/>
        <v>96880</v>
      </c>
    </row>
    <row r="32" spans="1:14" s="11" customFormat="1" ht="19.5" customHeight="1" x14ac:dyDescent="0.25">
      <c r="A32" s="10"/>
      <c r="B32" s="10"/>
      <c r="C32" s="6" t="s">
        <v>477</v>
      </c>
      <c r="D32" s="9" t="s">
        <v>1</v>
      </c>
      <c r="E32" s="8"/>
      <c r="F32" s="10">
        <v>2410</v>
      </c>
      <c r="G32" s="10">
        <f t="shared" si="1"/>
        <v>375170</v>
      </c>
      <c r="H32" s="10"/>
      <c r="I32" s="10"/>
      <c r="J32" s="10"/>
      <c r="K32" s="21" t="s">
        <v>0</v>
      </c>
      <c r="L32" s="8"/>
      <c r="M32" s="10"/>
      <c r="N32" s="22">
        <f t="shared" si="2"/>
        <v>96880</v>
      </c>
    </row>
    <row r="33" spans="1:14" s="11" customFormat="1" ht="19.5" customHeight="1" x14ac:dyDescent="0.25">
      <c r="A33" s="10"/>
      <c r="B33" s="10"/>
      <c r="C33" s="42" t="s">
        <v>498</v>
      </c>
      <c r="D33" s="9" t="s">
        <v>1</v>
      </c>
      <c r="E33" s="8"/>
      <c r="F33" s="10"/>
      <c r="G33" s="10">
        <f t="shared" si="1"/>
        <v>377580</v>
      </c>
      <c r="H33" s="10"/>
      <c r="I33" s="10"/>
      <c r="J33" s="10"/>
      <c r="K33" s="21" t="s">
        <v>0</v>
      </c>
      <c r="L33" s="8"/>
      <c r="M33" s="10"/>
      <c r="N33" s="22">
        <f t="shared" si="2"/>
        <v>96880</v>
      </c>
    </row>
    <row r="34" spans="1:14" s="11" customFormat="1" ht="19.5" customHeight="1" x14ac:dyDescent="0.25">
      <c r="A34" s="10"/>
      <c r="B34" s="10"/>
      <c r="C34" s="42" t="s">
        <v>499</v>
      </c>
      <c r="D34" s="9" t="s">
        <v>1</v>
      </c>
      <c r="E34" s="10"/>
      <c r="F34" s="10"/>
      <c r="G34" s="10">
        <f>G33+F33</f>
        <v>377580</v>
      </c>
      <c r="H34" s="10"/>
      <c r="I34" s="10"/>
      <c r="J34" s="10"/>
      <c r="K34" s="21" t="s">
        <v>0</v>
      </c>
      <c r="L34" s="10"/>
      <c r="M34" s="10"/>
      <c r="N34" s="22">
        <f t="shared" si="2"/>
        <v>96880</v>
      </c>
    </row>
    <row r="35" spans="1:14" ht="31.5" customHeight="1" x14ac:dyDescent="0.25">
      <c r="A35" s="46" t="s">
        <v>9</v>
      </c>
      <c r="B35" s="46"/>
      <c r="C35" s="47"/>
      <c r="D35" s="54">
        <f>G34+F34</f>
        <v>377580</v>
      </c>
      <c r="E35" s="54"/>
      <c r="F35" s="54"/>
      <c r="G35" s="54"/>
      <c r="H35" s="48" t="s">
        <v>10</v>
      </c>
      <c r="I35" s="48"/>
      <c r="J35" s="49"/>
      <c r="K35" s="54">
        <f>N34+M34</f>
        <v>96880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96880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280700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N46"/>
  <sheetViews>
    <sheetView view="pageBreakPreview" topLeftCell="A10" zoomScale="115" zoomScaleNormal="145" zoomScaleSheetLayoutView="115" zoomScalePageLayoutView="85" workbookViewId="0">
      <selection activeCell="C30" sqref="C30:C31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67</v>
      </c>
      <c r="D3" s="58" t="s">
        <v>4</v>
      </c>
      <c r="E3" s="58"/>
      <c r="F3" s="17" t="s">
        <v>3</v>
      </c>
      <c r="G3" s="3">
        <v>45591</v>
      </c>
      <c r="H3" s="57" t="s">
        <v>8</v>
      </c>
      <c r="I3" s="57"/>
      <c r="J3" s="18" t="s">
        <v>67</v>
      </c>
      <c r="K3" s="62" t="s">
        <v>5</v>
      </c>
      <c r="L3" s="62"/>
      <c r="M3" s="17" t="s">
        <v>3</v>
      </c>
      <c r="N3" s="3">
        <v>45591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(25)'!D37</f>
        <v>280700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530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4760</v>
      </c>
      <c r="G5" s="10">
        <f>F4</f>
        <v>280700</v>
      </c>
      <c r="H5" s="8"/>
      <c r="I5" s="8"/>
      <c r="J5" s="31" t="s">
        <v>54</v>
      </c>
      <c r="K5" s="9" t="s">
        <v>0</v>
      </c>
      <c r="L5" s="8"/>
      <c r="M5" s="10">
        <v>210</v>
      </c>
      <c r="N5" s="10">
        <f>M4</f>
        <v>530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30</v>
      </c>
      <c r="G6" s="10">
        <f>G5+F5</f>
        <v>285460</v>
      </c>
      <c r="H6" s="8"/>
      <c r="I6" s="8"/>
      <c r="J6" s="31" t="s">
        <v>100</v>
      </c>
      <c r="K6" s="9" t="s">
        <v>0</v>
      </c>
      <c r="L6" s="8"/>
      <c r="M6" s="10">
        <v>560</v>
      </c>
      <c r="N6" s="10">
        <f t="shared" ref="N6" si="0">N5+M5</f>
        <v>740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30</v>
      </c>
      <c r="G7" s="10">
        <f t="shared" ref="G7:G33" si="1">G6+F6</f>
        <v>285490</v>
      </c>
      <c r="H7" s="8"/>
      <c r="I7" s="8"/>
      <c r="J7" s="6" t="s">
        <v>232</v>
      </c>
      <c r="K7" s="9" t="s">
        <v>0</v>
      </c>
      <c r="L7" s="8"/>
      <c r="M7" s="10">
        <v>520</v>
      </c>
      <c r="N7" s="10">
        <f>N6+M6</f>
        <v>1300</v>
      </c>
    </row>
    <row r="8" spans="1:14" s="11" customFormat="1" ht="21" customHeight="1" x14ac:dyDescent="0.25">
      <c r="A8" s="8"/>
      <c r="B8" s="8"/>
      <c r="C8" s="6" t="s">
        <v>46</v>
      </c>
      <c r="D8" s="9" t="s">
        <v>1</v>
      </c>
      <c r="E8" s="8"/>
      <c r="F8" s="10">
        <v>40000</v>
      </c>
      <c r="G8" s="10">
        <f t="shared" si="1"/>
        <v>285520</v>
      </c>
      <c r="H8" s="8"/>
      <c r="I8" s="8">
        <v>531</v>
      </c>
      <c r="J8" s="6" t="s">
        <v>344</v>
      </c>
      <c r="K8" s="9" t="s">
        <v>0</v>
      </c>
      <c r="L8" s="8">
        <v>1014</v>
      </c>
      <c r="M8" s="10">
        <v>15460</v>
      </c>
      <c r="N8" s="10">
        <f t="shared" ref="N8:N34" si="2">N7+M7</f>
        <v>1820</v>
      </c>
    </row>
    <row r="9" spans="1:14" s="11" customFormat="1" ht="21" customHeight="1" x14ac:dyDescent="0.25">
      <c r="A9" s="8"/>
      <c r="B9" s="8"/>
      <c r="C9" s="6" t="s">
        <v>49</v>
      </c>
      <c r="D9" s="9" t="s">
        <v>1</v>
      </c>
      <c r="E9" s="8"/>
      <c r="F9" s="10">
        <v>20000</v>
      </c>
      <c r="G9" s="10">
        <f t="shared" si="1"/>
        <v>325520</v>
      </c>
      <c r="H9" s="8"/>
      <c r="I9" s="8">
        <v>532</v>
      </c>
      <c r="J9" s="6" t="s">
        <v>46</v>
      </c>
      <c r="K9" s="9" t="s">
        <v>0</v>
      </c>
      <c r="L9" s="8">
        <v>1013</v>
      </c>
      <c r="M9" s="10">
        <v>11340</v>
      </c>
      <c r="N9" s="10">
        <f t="shared" si="2"/>
        <v>17280</v>
      </c>
    </row>
    <row r="10" spans="1:14" s="11" customFormat="1" ht="21" customHeight="1" x14ac:dyDescent="0.25">
      <c r="A10" s="8"/>
      <c r="B10" s="8"/>
      <c r="C10" s="6" t="s">
        <v>48</v>
      </c>
      <c r="D10" s="9" t="s">
        <v>1</v>
      </c>
      <c r="E10" s="8"/>
      <c r="F10" s="10">
        <v>2000</v>
      </c>
      <c r="G10" s="10">
        <f t="shared" si="1"/>
        <v>345520</v>
      </c>
      <c r="H10" s="8"/>
      <c r="I10" s="8">
        <v>533</v>
      </c>
      <c r="J10" s="6" t="s">
        <v>44</v>
      </c>
      <c r="K10" s="9" t="s">
        <v>0</v>
      </c>
      <c r="L10" s="8">
        <v>1012</v>
      </c>
      <c r="M10" s="10">
        <v>970</v>
      </c>
      <c r="N10" s="10">
        <f t="shared" si="2"/>
        <v>28620</v>
      </c>
    </row>
    <row r="11" spans="1:14" s="11" customFormat="1" ht="21" customHeight="1" x14ac:dyDescent="0.25">
      <c r="A11" s="8"/>
      <c r="B11" s="8"/>
      <c r="C11" s="6" t="s">
        <v>85</v>
      </c>
      <c r="D11" s="9" t="s">
        <v>1</v>
      </c>
      <c r="E11" s="8"/>
      <c r="F11" s="10">
        <v>50000</v>
      </c>
      <c r="G11" s="10">
        <f t="shared" si="1"/>
        <v>347520</v>
      </c>
      <c r="H11" s="8"/>
      <c r="I11" s="8">
        <v>534</v>
      </c>
      <c r="J11" s="6" t="s">
        <v>18</v>
      </c>
      <c r="K11" s="9" t="s">
        <v>0</v>
      </c>
      <c r="L11" s="8">
        <v>499</v>
      </c>
      <c r="M11" s="10">
        <v>8390</v>
      </c>
      <c r="N11" s="10">
        <f t="shared" si="2"/>
        <v>29590</v>
      </c>
    </row>
    <row r="12" spans="1:14" s="11" customFormat="1" ht="21" customHeight="1" x14ac:dyDescent="0.25">
      <c r="A12" s="8"/>
      <c r="B12" s="8"/>
      <c r="C12" s="6" t="s">
        <v>290</v>
      </c>
      <c r="D12" s="9" t="s">
        <v>1</v>
      </c>
      <c r="E12" s="8"/>
      <c r="F12" s="10">
        <v>19000</v>
      </c>
      <c r="G12" s="10">
        <f t="shared" si="1"/>
        <v>397520</v>
      </c>
      <c r="H12" s="8"/>
      <c r="I12" s="8">
        <v>535</v>
      </c>
      <c r="J12" s="6" t="s">
        <v>19</v>
      </c>
      <c r="K12" s="9" t="s">
        <v>0</v>
      </c>
      <c r="L12" s="8">
        <v>500</v>
      </c>
      <c r="M12" s="10">
        <v>15500</v>
      </c>
      <c r="N12" s="10">
        <f t="shared" si="2"/>
        <v>37980</v>
      </c>
    </row>
    <row r="13" spans="1:14" s="11" customFormat="1" ht="21" customHeight="1" x14ac:dyDescent="0.25">
      <c r="A13" s="8"/>
      <c r="B13" s="8"/>
      <c r="C13" s="6" t="s">
        <v>278</v>
      </c>
      <c r="D13" s="9" t="s">
        <v>1</v>
      </c>
      <c r="E13" s="8"/>
      <c r="F13" s="10">
        <v>3400</v>
      </c>
      <c r="G13" s="10">
        <f t="shared" si="1"/>
        <v>416520</v>
      </c>
      <c r="H13" s="8"/>
      <c r="I13" s="8">
        <v>536</v>
      </c>
      <c r="J13" s="6" t="s">
        <v>87</v>
      </c>
      <c r="K13" s="9" t="s">
        <v>0</v>
      </c>
      <c r="L13" s="8">
        <v>1011</v>
      </c>
      <c r="M13" s="10">
        <v>3320</v>
      </c>
      <c r="N13" s="10">
        <f t="shared" si="2"/>
        <v>53480</v>
      </c>
    </row>
    <row r="14" spans="1:14" s="11" customFormat="1" ht="21" customHeight="1" x14ac:dyDescent="0.25">
      <c r="A14" s="8"/>
      <c r="B14" s="8"/>
      <c r="C14" s="6" t="s">
        <v>169</v>
      </c>
      <c r="D14" s="9" t="s">
        <v>1</v>
      </c>
      <c r="E14" s="8"/>
      <c r="F14" s="10">
        <v>1940</v>
      </c>
      <c r="G14" s="10">
        <f t="shared" si="1"/>
        <v>419920</v>
      </c>
      <c r="H14" s="8"/>
      <c r="I14" s="8">
        <v>537</v>
      </c>
      <c r="J14" s="6" t="s">
        <v>50</v>
      </c>
      <c r="K14" s="9" t="s">
        <v>0</v>
      </c>
      <c r="L14" s="8">
        <v>1007</v>
      </c>
      <c r="M14" s="10">
        <v>3510</v>
      </c>
      <c r="N14" s="10">
        <f t="shared" si="2"/>
        <v>56800</v>
      </c>
    </row>
    <row r="15" spans="1:14" s="11" customFormat="1" ht="21" customHeight="1" x14ac:dyDescent="0.25">
      <c r="A15" s="10"/>
      <c r="B15" s="10"/>
      <c r="C15" s="6" t="s">
        <v>334</v>
      </c>
      <c r="D15" s="9" t="s">
        <v>1</v>
      </c>
      <c r="E15" s="8"/>
      <c r="F15" s="10">
        <v>1400</v>
      </c>
      <c r="G15" s="10">
        <f t="shared" si="1"/>
        <v>421860</v>
      </c>
      <c r="H15" s="10"/>
      <c r="I15" s="8">
        <v>538</v>
      </c>
      <c r="J15" s="6" t="s">
        <v>171</v>
      </c>
      <c r="K15" s="9" t="s">
        <v>0</v>
      </c>
      <c r="L15" s="8">
        <v>1001</v>
      </c>
      <c r="M15" s="10">
        <v>12870</v>
      </c>
      <c r="N15" s="10">
        <f t="shared" si="2"/>
        <v>60310</v>
      </c>
    </row>
    <row r="16" spans="1:14" s="11" customFormat="1" ht="21" customHeight="1" x14ac:dyDescent="0.25">
      <c r="A16" s="10"/>
      <c r="B16" s="10"/>
      <c r="C16" s="6" t="s">
        <v>44</v>
      </c>
      <c r="D16" s="9" t="s">
        <v>1</v>
      </c>
      <c r="E16" s="8"/>
      <c r="F16" s="10">
        <v>11980</v>
      </c>
      <c r="G16" s="10">
        <f t="shared" si="1"/>
        <v>423260</v>
      </c>
      <c r="H16" s="10"/>
      <c r="I16" s="8">
        <v>539</v>
      </c>
      <c r="J16" s="6" t="s">
        <v>110</v>
      </c>
      <c r="K16" s="9" t="s">
        <v>0</v>
      </c>
      <c r="L16" s="8">
        <v>1004</v>
      </c>
      <c r="M16" s="10">
        <v>4610</v>
      </c>
      <c r="N16" s="10">
        <f t="shared" si="2"/>
        <v>73180</v>
      </c>
    </row>
    <row r="17" spans="1:14" s="11" customFormat="1" ht="21" customHeight="1" x14ac:dyDescent="0.25">
      <c r="A17" s="10"/>
      <c r="B17" s="10"/>
      <c r="C17" s="6" t="s">
        <v>258</v>
      </c>
      <c r="D17" s="9" t="s">
        <v>1</v>
      </c>
      <c r="E17" s="8"/>
      <c r="F17" s="10">
        <v>4170</v>
      </c>
      <c r="G17" s="10">
        <f t="shared" si="1"/>
        <v>435240</v>
      </c>
      <c r="H17" s="10"/>
      <c r="I17" s="8">
        <v>540</v>
      </c>
      <c r="J17" s="6" t="s">
        <v>111</v>
      </c>
      <c r="K17" s="9" t="s">
        <v>0</v>
      </c>
      <c r="L17" s="8">
        <v>1002</v>
      </c>
      <c r="M17" s="10">
        <v>7360</v>
      </c>
      <c r="N17" s="10">
        <f t="shared" si="2"/>
        <v>77790</v>
      </c>
    </row>
    <row r="18" spans="1:14" s="11" customFormat="1" ht="21" customHeight="1" x14ac:dyDescent="0.25">
      <c r="A18" s="10"/>
      <c r="B18" s="10"/>
      <c r="C18" s="6" t="s">
        <v>18</v>
      </c>
      <c r="D18" s="9" t="s">
        <v>1</v>
      </c>
      <c r="E18" s="8"/>
      <c r="F18" s="10">
        <v>4200</v>
      </c>
      <c r="G18" s="10">
        <f t="shared" si="1"/>
        <v>439410</v>
      </c>
      <c r="H18" s="10"/>
      <c r="I18" s="8">
        <v>541</v>
      </c>
      <c r="J18" s="6" t="s">
        <v>492</v>
      </c>
      <c r="K18" s="9" t="s">
        <v>0</v>
      </c>
      <c r="L18" s="8">
        <v>1003</v>
      </c>
      <c r="M18" s="10">
        <v>3240</v>
      </c>
      <c r="N18" s="10">
        <f t="shared" si="2"/>
        <v>85150</v>
      </c>
    </row>
    <row r="19" spans="1:14" s="11" customFormat="1" ht="21" customHeight="1" x14ac:dyDescent="0.25">
      <c r="A19" s="10"/>
      <c r="B19" s="10"/>
      <c r="C19" s="6" t="s">
        <v>281</v>
      </c>
      <c r="D19" s="9" t="s">
        <v>1</v>
      </c>
      <c r="E19" s="8"/>
      <c r="F19" s="10">
        <v>3620</v>
      </c>
      <c r="G19" s="10">
        <f t="shared" si="1"/>
        <v>443610</v>
      </c>
      <c r="H19" s="10"/>
      <c r="I19" s="8">
        <v>542</v>
      </c>
      <c r="J19" s="6" t="s">
        <v>442</v>
      </c>
      <c r="K19" s="9" t="s">
        <v>0</v>
      </c>
      <c r="L19" s="8">
        <v>1005</v>
      </c>
      <c r="M19" s="10">
        <v>3500</v>
      </c>
      <c r="N19" s="10">
        <f t="shared" si="2"/>
        <v>88390</v>
      </c>
    </row>
    <row r="20" spans="1:14" s="11" customFormat="1" ht="21" customHeight="1" x14ac:dyDescent="0.25">
      <c r="A20" s="10"/>
      <c r="B20" s="10"/>
      <c r="C20" s="6" t="s">
        <v>86</v>
      </c>
      <c r="D20" s="9" t="s">
        <v>1</v>
      </c>
      <c r="E20" s="8"/>
      <c r="F20" s="10">
        <v>3210</v>
      </c>
      <c r="G20" s="10">
        <f t="shared" si="1"/>
        <v>447230</v>
      </c>
      <c r="H20" s="10"/>
      <c r="I20" s="8">
        <v>543</v>
      </c>
      <c r="J20" s="6" t="s">
        <v>280</v>
      </c>
      <c r="K20" s="9" t="s">
        <v>0</v>
      </c>
      <c r="L20" s="8">
        <v>1009</v>
      </c>
      <c r="M20" s="10">
        <v>4630</v>
      </c>
      <c r="N20" s="10">
        <f t="shared" si="2"/>
        <v>91890</v>
      </c>
    </row>
    <row r="21" spans="1:14" s="11" customFormat="1" ht="21" customHeight="1" x14ac:dyDescent="0.25">
      <c r="A21" s="10"/>
      <c r="B21" s="10"/>
      <c r="C21" s="6" t="s">
        <v>87</v>
      </c>
      <c r="D21" s="9" t="s">
        <v>1</v>
      </c>
      <c r="E21" s="8"/>
      <c r="F21" s="10">
        <v>4750</v>
      </c>
      <c r="G21" s="10">
        <f t="shared" si="1"/>
        <v>450440</v>
      </c>
      <c r="H21" s="10"/>
      <c r="I21" s="8">
        <v>544</v>
      </c>
      <c r="J21" s="6" t="s">
        <v>500</v>
      </c>
      <c r="K21" s="9" t="s">
        <v>0</v>
      </c>
      <c r="L21" s="8">
        <v>1006</v>
      </c>
      <c r="M21" s="10">
        <v>2700</v>
      </c>
      <c r="N21" s="10">
        <f t="shared" si="2"/>
        <v>96520</v>
      </c>
    </row>
    <row r="22" spans="1:14" s="11" customFormat="1" ht="21" customHeight="1" x14ac:dyDescent="0.25">
      <c r="A22" s="10"/>
      <c r="B22" s="10"/>
      <c r="C22" s="6" t="s">
        <v>111</v>
      </c>
      <c r="D22" s="9" t="s">
        <v>1</v>
      </c>
      <c r="E22" s="8"/>
      <c r="F22" s="10">
        <v>3100</v>
      </c>
      <c r="G22" s="10">
        <f t="shared" si="1"/>
        <v>455190</v>
      </c>
      <c r="H22" s="10"/>
      <c r="I22" s="8">
        <v>545</v>
      </c>
      <c r="J22" s="6" t="s">
        <v>170</v>
      </c>
      <c r="K22" s="9" t="s">
        <v>0</v>
      </c>
      <c r="L22" s="8">
        <v>1010</v>
      </c>
      <c r="M22" s="10">
        <v>3540</v>
      </c>
      <c r="N22" s="10">
        <f t="shared" si="2"/>
        <v>99220</v>
      </c>
    </row>
    <row r="23" spans="1:14" s="11" customFormat="1" ht="21" customHeight="1" x14ac:dyDescent="0.25">
      <c r="A23" s="10"/>
      <c r="B23" s="10"/>
      <c r="C23" s="6" t="s">
        <v>291</v>
      </c>
      <c r="D23" s="9" t="s">
        <v>1</v>
      </c>
      <c r="E23" s="8"/>
      <c r="F23" s="10">
        <v>2850</v>
      </c>
      <c r="G23" s="10">
        <f t="shared" si="1"/>
        <v>458290</v>
      </c>
      <c r="H23" s="10"/>
      <c r="I23" s="8">
        <v>546</v>
      </c>
      <c r="J23" s="6" t="s">
        <v>501</v>
      </c>
      <c r="K23" s="9" t="s">
        <v>0</v>
      </c>
      <c r="L23" s="8">
        <v>1008</v>
      </c>
      <c r="M23" s="10">
        <v>4970</v>
      </c>
      <c r="N23" s="10">
        <f t="shared" si="2"/>
        <v>102760</v>
      </c>
    </row>
    <row r="24" spans="1:14" s="11" customFormat="1" ht="21" customHeight="1" x14ac:dyDescent="0.25">
      <c r="A24" s="10"/>
      <c r="B24" s="10"/>
      <c r="C24" s="6" t="s">
        <v>83</v>
      </c>
      <c r="D24" s="9" t="s">
        <v>1</v>
      </c>
      <c r="E24" s="8"/>
      <c r="F24" s="10">
        <v>3130</v>
      </c>
      <c r="G24" s="10">
        <f t="shared" si="1"/>
        <v>461140</v>
      </c>
      <c r="H24" s="10"/>
      <c r="I24" s="8">
        <v>547</v>
      </c>
      <c r="J24" s="6" t="s">
        <v>39</v>
      </c>
      <c r="K24" s="9" t="s">
        <v>0</v>
      </c>
      <c r="L24" s="8">
        <v>1015</v>
      </c>
      <c r="M24" s="10">
        <v>13180</v>
      </c>
      <c r="N24" s="10">
        <f t="shared" si="2"/>
        <v>107730</v>
      </c>
    </row>
    <row r="25" spans="1:14" s="11" customFormat="1" ht="21" customHeight="1" x14ac:dyDescent="0.25">
      <c r="A25" s="10"/>
      <c r="B25" s="10"/>
      <c r="C25" s="6" t="s">
        <v>279</v>
      </c>
      <c r="D25" s="9" t="s">
        <v>1</v>
      </c>
      <c r="E25" s="8"/>
      <c r="F25" s="10">
        <v>7050</v>
      </c>
      <c r="G25" s="10">
        <f t="shared" si="1"/>
        <v>464270</v>
      </c>
      <c r="H25" s="10"/>
      <c r="I25" s="10"/>
      <c r="J25" s="10"/>
      <c r="K25" s="21" t="s">
        <v>0</v>
      </c>
      <c r="L25" s="8"/>
      <c r="M25" s="10"/>
      <c r="N25" s="10">
        <f t="shared" si="2"/>
        <v>120910</v>
      </c>
    </row>
    <row r="26" spans="1:14" s="11" customFormat="1" ht="21" customHeight="1" x14ac:dyDescent="0.25">
      <c r="A26" s="10"/>
      <c r="B26" s="10"/>
      <c r="C26" s="6" t="s">
        <v>199</v>
      </c>
      <c r="D26" s="9" t="s">
        <v>1</v>
      </c>
      <c r="E26" s="8"/>
      <c r="F26" s="10">
        <v>1950</v>
      </c>
      <c r="G26" s="10">
        <f t="shared" si="1"/>
        <v>471320</v>
      </c>
      <c r="H26" s="10"/>
      <c r="I26" s="10"/>
      <c r="J26" s="10"/>
      <c r="K26" s="21" t="s">
        <v>0</v>
      </c>
      <c r="L26" s="8"/>
      <c r="M26" s="10"/>
      <c r="N26" s="22">
        <f t="shared" si="2"/>
        <v>120910</v>
      </c>
    </row>
    <row r="27" spans="1:14" s="11" customFormat="1" ht="21" customHeight="1" x14ac:dyDescent="0.25">
      <c r="A27" s="10"/>
      <c r="B27" s="10"/>
      <c r="C27" s="6" t="s">
        <v>39</v>
      </c>
      <c r="D27" s="9" t="s">
        <v>1</v>
      </c>
      <c r="E27" s="8"/>
      <c r="F27" s="10">
        <v>13180</v>
      </c>
      <c r="G27" s="10">
        <f t="shared" si="1"/>
        <v>473270</v>
      </c>
      <c r="H27" s="10"/>
      <c r="I27" s="10"/>
      <c r="J27" s="10"/>
      <c r="K27" s="21" t="s">
        <v>0</v>
      </c>
      <c r="L27" s="8"/>
      <c r="M27" s="10"/>
      <c r="N27" s="22">
        <f t="shared" si="2"/>
        <v>120910</v>
      </c>
    </row>
    <row r="28" spans="1:14" s="11" customFormat="1" ht="21" customHeight="1" x14ac:dyDescent="0.25">
      <c r="A28" s="10"/>
      <c r="B28" s="10"/>
      <c r="C28" s="10"/>
      <c r="D28" s="21" t="s">
        <v>1</v>
      </c>
      <c r="E28" s="8"/>
      <c r="F28" s="10"/>
      <c r="G28" s="10">
        <f t="shared" si="1"/>
        <v>486450</v>
      </c>
      <c r="H28" s="10"/>
      <c r="I28" s="10"/>
      <c r="J28" s="31" t="s">
        <v>506</v>
      </c>
      <c r="K28" s="21" t="s">
        <v>0</v>
      </c>
      <c r="L28" s="8"/>
      <c r="M28" s="10"/>
      <c r="N28" s="22">
        <f t="shared" si="2"/>
        <v>120910</v>
      </c>
    </row>
    <row r="29" spans="1:14" s="11" customFormat="1" ht="21" customHeight="1" x14ac:dyDescent="0.25">
      <c r="A29" s="10"/>
      <c r="B29" s="10"/>
      <c r="C29" s="10"/>
      <c r="D29" s="21" t="s">
        <v>1</v>
      </c>
      <c r="E29" s="8"/>
      <c r="F29" s="10"/>
      <c r="G29" s="22">
        <f t="shared" si="1"/>
        <v>486450</v>
      </c>
      <c r="H29" s="10"/>
      <c r="I29" s="10"/>
      <c r="J29" s="36" t="s">
        <v>504</v>
      </c>
      <c r="K29" s="21" t="s">
        <v>0</v>
      </c>
      <c r="L29" s="8"/>
      <c r="M29" s="10"/>
      <c r="N29" s="22">
        <f t="shared" si="2"/>
        <v>120910</v>
      </c>
    </row>
    <row r="30" spans="1:14" s="11" customFormat="1" ht="21" customHeight="1" x14ac:dyDescent="0.25">
      <c r="A30" s="10"/>
      <c r="B30" s="10"/>
      <c r="C30" s="42" t="s">
        <v>503</v>
      </c>
      <c r="D30" s="21" t="s">
        <v>1</v>
      </c>
      <c r="E30" s="8"/>
      <c r="F30" s="10"/>
      <c r="G30" s="22">
        <f t="shared" si="1"/>
        <v>486450</v>
      </c>
      <c r="H30" s="10"/>
      <c r="I30" s="10"/>
      <c r="J30" s="31" t="s">
        <v>505</v>
      </c>
      <c r="K30" s="21" t="s">
        <v>0</v>
      </c>
      <c r="L30" s="8"/>
      <c r="M30" s="10"/>
      <c r="N30" s="22">
        <f t="shared" si="2"/>
        <v>120910</v>
      </c>
    </row>
    <row r="31" spans="1:14" s="11" customFormat="1" ht="21" customHeight="1" x14ac:dyDescent="0.25">
      <c r="A31" s="10"/>
      <c r="B31" s="10"/>
      <c r="C31" s="42" t="s">
        <v>502</v>
      </c>
      <c r="D31" s="21" t="s">
        <v>1</v>
      </c>
      <c r="E31" s="8"/>
      <c r="F31" s="10"/>
      <c r="G31" s="22">
        <f t="shared" si="1"/>
        <v>486450</v>
      </c>
      <c r="H31" s="10"/>
      <c r="I31" s="10"/>
      <c r="J31" s="10"/>
      <c r="K31" s="21" t="s">
        <v>0</v>
      </c>
      <c r="L31" s="8"/>
      <c r="M31" s="10"/>
      <c r="N31" s="22">
        <f t="shared" si="2"/>
        <v>120910</v>
      </c>
    </row>
    <row r="32" spans="1:14" s="11" customFormat="1" ht="21" customHeight="1" x14ac:dyDescent="0.25">
      <c r="A32" s="10"/>
      <c r="B32" s="10"/>
      <c r="C32" s="10"/>
      <c r="D32" s="21" t="s">
        <v>1</v>
      </c>
      <c r="E32" s="8"/>
      <c r="F32" s="10"/>
      <c r="G32" s="22">
        <f t="shared" si="1"/>
        <v>486450</v>
      </c>
      <c r="H32" s="10"/>
      <c r="I32" s="10"/>
      <c r="J32" s="10"/>
      <c r="K32" s="21" t="s">
        <v>0</v>
      </c>
      <c r="L32" s="8"/>
      <c r="M32" s="10"/>
      <c r="N32" s="22">
        <f t="shared" si="2"/>
        <v>120910</v>
      </c>
    </row>
    <row r="33" spans="1:14" s="11" customFormat="1" ht="21" customHeight="1" x14ac:dyDescent="0.25">
      <c r="A33" s="10"/>
      <c r="B33" s="10"/>
      <c r="C33" s="10"/>
      <c r="D33" s="21" t="s">
        <v>1</v>
      </c>
      <c r="E33" s="8"/>
      <c r="F33" s="10"/>
      <c r="G33" s="22">
        <f t="shared" si="1"/>
        <v>486450</v>
      </c>
      <c r="H33" s="10"/>
      <c r="I33" s="10"/>
      <c r="J33" s="10"/>
      <c r="K33" s="21" t="s">
        <v>0</v>
      </c>
      <c r="L33" s="8"/>
      <c r="M33" s="10"/>
      <c r="N33" s="22">
        <f t="shared" si="2"/>
        <v>120910</v>
      </c>
    </row>
    <row r="34" spans="1:14" s="11" customFormat="1" ht="21" customHeight="1" x14ac:dyDescent="0.25">
      <c r="A34" s="10"/>
      <c r="B34" s="10"/>
      <c r="C34" s="10"/>
      <c r="D34" s="21" t="s">
        <v>1</v>
      </c>
      <c r="E34" s="10"/>
      <c r="F34" s="10"/>
      <c r="G34" s="22">
        <f>G33+F33</f>
        <v>486450</v>
      </c>
      <c r="H34" s="10"/>
      <c r="I34" s="10"/>
      <c r="J34" s="10"/>
      <c r="K34" s="21" t="s">
        <v>0</v>
      </c>
      <c r="L34" s="10"/>
      <c r="M34" s="10"/>
      <c r="N34" s="22">
        <f t="shared" si="2"/>
        <v>120910</v>
      </c>
    </row>
    <row r="35" spans="1:14" ht="31.5" customHeight="1" x14ac:dyDescent="0.25">
      <c r="A35" s="46" t="s">
        <v>9</v>
      </c>
      <c r="B35" s="46"/>
      <c r="C35" s="47"/>
      <c r="D35" s="54">
        <f>G34+F34</f>
        <v>486450</v>
      </c>
      <c r="E35" s="54"/>
      <c r="F35" s="54"/>
      <c r="G35" s="54"/>
      <c r="H35" s="48" t="s">
        <v>10</v>
      </c>
      <c r="I35" s="48"/>
      <c r="J35" s="49"/>
      <c r="K35" s="54">
        <f>N34+M34</f>
        <v>120910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120910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365540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N59"/>
  <sheetViews>
    <sheetView view="pageBreakPreview" topLeftCell="A4" zoomScale="115" zoomScaleNormal="145" zoomScaleSheetLayoutView="115" zoomScalePageLayoutView="85" workbookViewId="0">
      <selection activeCell="J14" activeCellId="3" sqref="J10 J11 J12 J1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145</v>
      </c>
      <c r="D3" s="58" t="s">
        <v>4</v>
      </c>
      <c r="E3" s="58"/>
      <c r="F3" s="17" t="s">
        <v>3</v>
      </c>
      <c r="G3" s="3">
        <v>45592</v>
      </c>
      <c r="H3" s="57" t="s">
        <v>8</v>
      </c>
      <c r="I3" s="57"/>
      <c r="J3" s="18" t="s">
        <v>145</v>
      </c>
      <c r="K3" s="62" t="s">
        <v>5</v>
      </c>
      <c r="L3" s="62"/>
      <c r="M3" s="17" t="s">
        <v>3</v>
      </c>
      <c r="N3" s="3">
        <v>45592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(26)'!D37</f>
        <v>365540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1210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17840</v>
      </c>
      <c r="G5" s="10">
        <f>F4</f>
        <v>365540</v>
      </c>
      <c r="H5" s="8"/>
      <c r="I5" s="8"/>
      <c r="J5" s="31" t="s">
        <v>54</v>
      </c>
      <c r="K5" s="9" t="s">
        <v>0</v>
      </c>
      <c r="L5" s="8"/>
      <c r="M5" s="10">
        <v>1220</v>
      </c>
      <c r="N5" s="10">
        <f>M4</f>
        <v>1210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100</v>
      </c>
      <c r="G6" s="10">
        <f>G5+F5</f>
        <v>383380</v>
      </c>
      <c r="H6" s="8"/>
      <c r="I6" s="8"/>
      <c r="J6" s="31" t="s">
        <v>100</v>
      </c>
      <c r="K6" s="9" t="s">
        <v>0</v>
      </c>
      <c r="L6" s="8"/>
      <c r="M6" s="10">
        <v>650</v>
      </c>
      <c r="N6" s="10">
        <f t="shared" ref="N6" si="0">N5+M5</f>
        <v>2430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100</v>
      </c>
      <c r="G7" s="10">
        <f t="shared" ref="G7:G47" si="1">G6+F6</f>
        <v>383480</v>
      </c>
      <c r="H7" s="8"/>
      <c r="I7" s="8"/>
      <c r="J7" s="6" t="s">
        <v>508</v>
      </c>
      <c r="K7" s="9" t="s">
        <v>0</v>
      </c>
      <c r="L7" s="8"/>
      <c r="M7" s="10">
        <v>700</v>
      </c>
      <c r="N7" s="10">
        <f>N6+M6</f>
        <v>3080</v>
      </c>
    </row>
    <row r="8" spans="1:14" s="11" customFormat="1" ht="21" customHeight="1" x14ac:dyDescent="0.25">
      <c r="A8" s="8"/>
      <c r="B8" s="8"/>
      <c r="C8" s="6" t="s">
        <v>507</v>
      </c>
      <c r="D8" s="9" t="s">
        <v>1</v>
      </c>
      <c r="E8" s="8"/>
      <c r="F8" s="10">
        <v>500</v>
      </c>
      <c r="G8" s="10">
        <f t="shared" si="1"/>
        <v>383580</v>
      </c>
      <c r="H8" s="8"/>
      <c r="I8" s="8"/>
      <c r="J8" s="6" t="s">
        <v>509</v>
      </c>
      <c r="K8" s="9" t="s">
        <v>0</v>
      </c>
      <c r="L8" s="8"/>
      <c r="M8" s="10">
        <v>20250</v>
      </c>
      <c r="N8" s="10">
        <f t="shared" ref="N8:N47" si="2">N7+M7</f>
        <v>3780</v>
      </c>
    </row>
    <row r="9" spans="1:14" s="11" customFormat="1" ht="21" customHeight="1" x14ac:dyDescent="0.25">
      <c r="A9" s="8"/>
      <c r="B9" s="8"/>
      <c r="C9" s="6" t="s">
        <v>39</v>
      </c>
      <c r="D9" s="9" t="s">
        <v>1</v>
      </c>
      <c r="E9" s="8"/>
      <c r="F9" s="10">
        <v>71970</v>
      </c>
      <c r="G9" s="10">
        <f t="shared" si="1"/>
        <v>384080</v>
      </c>
      <c r="H9" s="8"/>
      <c r="I9" s="8"/>
      <c r="J9" s="6" t="s">
        <v>343</v>
      </c>
      <c r="K9" s="9" t="s">
        <v>0</v>
      </c>
      <c r="L9" s="8"/>
      <c r="M9" s="10">
        <v>500</v>
      </c>
      <c r="N9" s="10">
        <f t="shared" si="2"/>
        <v>24030</v>
      </c>
    </row>
    <row r="10" spans="1:14" s="11" customFormat="1" ht="21" customHeight="1" x14ac:dyDescent="0.25">
      <c r="A10" s="8"/>
      <c r="B10" s="8"/>
      <c r="C10" s="6" t="s">
        <v>191</v>
      </c>
      <c r="D10" s="9" t="s">
        <v>1</v>
      </c>
      <c r="E10" s="8"/>
      <c r="F10" s="10">
        <v>20000</v>
      </c>
      <c r="G10" s="10">
        <f t="shared" si="1"/>
        <v>456050</v>
      </c>
      <c r="H10" s="8"/>
      <c r="I10" s="8">
        <v>548</v>
      </c>
      <c r="J10" s="6" t="s">
        <v>488</v>
      </c>
      <c r="K10" s="9" t="s">
        <v>0</v>
      </c>
      <c r="L10" s="8">
        <v>1034</v>
      </c>
      <c r="M10" s="10">
        <v>17100</v>
      </c>
      <c r="N10" s="10">
        <f t="shared" si="2"/>
        <v>24530</v>
      </c>
    </row>
    <row r="11" spans="1:14" s="11" customFormat="1" ht="21" customHeight="1" x14ac:dyDescent="0.25">
      <c r="A11" s="8"/>
      <c r="B11" s="8"/>
      <c r="C11" s="6" t="s">
        <v>85</v>
      </c>
      <c r="D11" s="9" t="s">
        <v>1</v>
      </c>
      <c r="E11" s="8"/>
      <c r="F11" s="10">
        <v>9790</v>
      </c>
      <c r="G11" s="10">
        <f t="shared" si="1"/>
        <v>476050</v>
      </c>
      <c r="H11" s="8"/>
      <c r="I11" s="8">
        <v>549</v>
      </c>
      <c r="J11" s="6" t="s">
        <v>173</v>
      </c>
      <c r="K11" s="9" t="s">
        <v>0</v>
      </c>
      <c r="L11" s="8">
        <v>1036</v>
      </c>
      <c r="M11" s="10">
        <v>28060</v>
      </c>
      <c r="N11" s="10">
        <f t="shared" si="2"/>
        <v>41630</v>
      </c>
    </row>
    <row r="12" spans="1:14" s="11" customFormat="1" ht="21" customHeight="1" x14ac:dyDescent="0.25">
      <c r="A12" s="8"/>
      <c r="B12" s="8"/>
      <c r="C12" s="6" t="s">
        <v>44</v>
      </c>
      <c r="D12" s="9" t="s">
        <v>1</v>
      </c>
      <c r="E12" s="8"/>
      <c r="F12" s="10">
        <v>970</v>
      </c>
      <c r="G12" s="10">
        <f t="shared" si="1"/>
        <v>485840</v>
      </c>
      <c r="H12" s="8"/>
      <c r="I12" s="8">
        <v>550</v>
      </c>
      <c r="J12" s="6" t="s">
        <v>81</v>
      </c>
      <c r="K12" s="9" t="s">
        <v>0</v>
      </c>
      <c r="L12" s="8">
        <v>1019</v>
      </c>
      <c r="M12" s="10">
        <v>57780</v>
      </c>
      <c r="N12" s="10">
        <f t="shared" si="2"/>
        <v>69690</v>
      </c>
    </row>
    <row r="13" spans="1:14" s="11" customFormat="1" ht="21" customHeight="1" x14ac:dyDescent="0.25">
      <c r="A13" s="8"/>
      <c r="B13" s="8"/>
      <c r="C13" s="6" t="s">
        <v>87</v>
      </c>
      <c r="D13" s="9" t="s">
        <v>1</v>
      </c>
      <c r="E13" s="8"/>
      <c r="F13" s="10">
        <v>3320</v>
      </c>
      <c r="G13" s="10">
        <f t="shared" si="1"/>
        <v>486810</v>
      </c>
      <c r="H13" s="8"/>
      <c r="I13" s="8">
        <v>551</v>
      </c>
      <c r="J13" s="6" t="s">
        <v>46</v>
      </c>
      <c r="K13" s="9" t="s">
        <v>0</v>
      </c>
      <c r="L13" s="8">
        <v>1018</v>
      </c>
      <c r="M13" s="10">
        <v>9400</v>
      </c>
      <c r="N13" s="10">
        <f t="shared" si="2"/>
        <v>127470</v>
      </c>
    </row>
    <row r="14" spans="1:14" s="11" customFormat="1" ht="21" customHeight="1" x14ac:dyDescent="0.25">
      <c r="A14" s="8"/>
      <c r="B14" s="8"/>
      <c r="C14" s="6" t="s">
        <v>170</v>
      </c>
      <c r="D14" s="9" t="s">
        <v>1</v>
      </c>
      <c r="E14" s="8"/>
      <c r="F14" s="10">
        <v>3540</v>
      </c>
      <c r="G14" s="10">
        <f t="shared" si="1"/>
        <v>490130</v>
      </c>
      <c r="H14" s="8"/>
      <c r="I14" s="8">
        <v>552</v>
      </c>
      <c r="J14" s="6" t="s">
        <v>49</v>
      </c>
      <c r="K14" s="9" t="s">
        <v>0</v>
      </c>
      <c r="L14" s="8">
        <v>1030</v>
      </c>
      <c r="M14" s="10">
        <v>10530</v>
      </c>
      <c r="N14" s="10">
        <f t="shared" si="2"/>
        <v>136870</v>
      </c>
    </row>
    <row r="15" spans="1:14" s="11" customFormat="1" ht="21" customHeight="1" x14ac:dyDescent="0.25">
      <c r="A15" s="10"/>
      <c r="B15" s="10"/>
      <c r="C15" s="6" t="s">
        <v>280</v>
      </c>
      <c r="D15" s="9" t="s">
        <v>1</v>
      </c>
      <c r="E15" s="8"/>
      <c r="F15" s="10">
        <v>4630</v>
      </c>
      <c r="G15" s="10">
        <f t="shared" si="1"/>
        <v>493670</v>
      </c>
      <c r="H15" s="10"/>
      <c r="I15" s="8">
        <v>553</v>
      </c>
      <c r="J15" s="6" t="s">
        <v>44</v>
      </c>
      <c r="K15" s="9" t="s">
        <v>0</v>
      </c>
      <c r="L15" s="8">
        <v>1048</v>
      </c>
      <c r="M15" s="10">
        <v>2930</v>
      </c>
      <c r="N15" s="10">
        <f t="shared" si="2"/>
        <v>147400</v>
      </c>
    </row>
    <row r="16" spans="1:14" s="11" customFormat="1" ht="21" customHeight="1" x14ac:dyDescent="0.25">
      <c r="A16" s="10"/>
      <c r="B16" s="10"/>
      <c r="C16" s="6" t="s">
        <v>501</v>
      </c>
      <c r="D16" s="9" t="s">
        <v>1</v>
      </c>
      <c r="E16" s="8"/>
      <c r="F16" s="10">
        <v>4970</v>
      </c>
      <c r="G16" s="10">
        <f t="shared" si="1"/>
        <v>498300</v>
      </c>
      <c r="H16" s="10"/>
      <c r="I16" s="8">
        <v>554</v>
      </c>
      <c r="J16" s="6" t="s">
        <v>281</v>
      </c>
      <c r="K16" s="9" t="s">
        <v>0</v>
      </c>
      <c r="L16" s="8">
        <v>1026</v>
      </c>
      <c r="M16" s="10">
        <v>23620</v>
      </c>
      <c r="N16" s="10">
        <f t="shared" si="2"/>
        <v>150330</v>
      </c>
    </row>
    <row r="17" spans="1:14" s="11" customFormat="1" ht="21" customHeight="1" x14ac:dyDescent="0.25">
      <c r="A17" s="10"/>
      <c r="B17" s="10"/>
      <c r="C17" s="6" t="s">
        <v>110</v>
      </c>
      <c r="D17" s="9" t="s">
        <v>1</v>
      </c>
      <c r="E17" s="8"/>
      <c r="F17" s="10">
        <v>4610</v>
      </c>
      <c r="G17" s="10">
        <f t="shared" si="1"/>
        <v>503270</v>
      </c>
      <c r="H17" s="10"/>
      <c r="I17" s="8">
        <v>555</v>
      </c>
      <c r="J17" s="6" t="s">
        <v>18</v>
      </c>
      <c r="K17" s="9" t="s">
        <v>0</v>
      </c>
      <c r="L17" s="8">
        <v>1044</v>
      </c>
      <c r="M17" s="10">
        <v>1380</v>
      </c>
      <c r="N17" s="10">
        <f t="shared" si="2"/>
        <v>173950</v>
      </c>
    </row>
    <row r="18" spans="1:14" s="11" customFormat="1" ht="21" customHeight="1" x14ac:dyDescent="0.25">
      <c r="A18" s="10"/>
      <c r="B18" s="10"/>
      <c r="C18" s="6" t="s">
        <v>492</v>
      </c>
      <c r="D18" s="9" t="s">
        <v>1</v>
      </c>
      <c r="E18" s="8"/>
      <c r="F18" s="10">
        <v>3240</v>
      </c>
      <c r="G18" s="10">
        <f t="shared" si="1"/>
        <v>507880</v>
      </c>
      <c r="H18" s="10"/>
      <c r="I18" s="8">
        <v>556</v>
      </c>
      <c r="J18" s="6" t="s">
        <v>402</v>
      </c>
      <c r="K18" s="9" t="s">
        <v>0</v>
      </c>
      <c r="L18" s="8">
        <v>1035</v>
      </c>
      <c r="M18" s="10">
        <v>9500</v>
      </c>
      <c r="N18" s="10">
        <f t="shared" si="2"/>
        <v>175330</v>
      </c>
    </row>
    <row r="19" spans="1:14" s="11" customFormat="1" ht="21" customHeight="1" x14ac:dyDescent="0.25">
      <c r="A19" s="10"/>
      <c r="B19" s="10"/>
      <c r="C19" s="6" t="s">
        <v>171</v>
      </c>
      <c r="D19" s="9" t="s">
        <v>1</v>
      </c>
      <c r="E19" s="8"/>
      <c r="F19" s="10">
        <v>12870</v>
      </c>
      <c r="G19" s="10">
        <f t="shared" si="1"/>
        <v>511120</v>
      </c>
      <c r="H19" s="10"/>
      <c r="I19" s="8">
        <v>557</v>
      </c>
      <c r="J19" s="6" t="s">
        <v>513</v>
      </c>
      <c r="K19" s="9" t="s">
        <v>0</v>
      </c>
      <c r="L19" s="8">
        <v>1033</v>
      </c>
      <c r="M19" s="10">
        <v>1300</v>
      </c>
      <c r="N19" s="10">
        <f t="shared" si="2"/>
        <v>184830</v>
      </c>
    </row>
    <row r="20" spans="1:14" s="11" customFormat="1" ht="21" customHeight="1" x14ac:dyDescent="0.25">
      <c r="A20" s="10"/>
      <c r="B20" s="10"/>
      <c r="C20" s="6" t="s">
        <v>19</v>
      </c>
      <c r="D20" s="9" t="s">
        <v>1</v>
      </c>
      <c r="E20" s="8"/>
      <c r="F20" s="10">
        <v>15500</v>
      </c>
      <c r="G20" s="10">
        <f t="shared" si="1"/>
        <v>523990</v>
      </c>
      <c r="H20" s="10"/>
      <c r="I20" s="8">
        <v>558</v>
      </c>
      <c r="J20" s="6" t="s">
        <v>19</v>
      </c>
      <c r="K20" s="9" t="s">
        <v>0</v>
      </c>
      <c r="L20" s="8">
        <v>1022</v>
      </c>
      <c r="M20" s="10">
        <v>35740</v>
      </c>
      <c r="N20" s="10">
        <f t="shared" si="2"/>
        <v>186130</v>
      </c>
    </row>
    <row r="21" spans="1:14" s="11" customFormat="1" ht="21" customHeight="1" x14ac:dyDescent="0.25">
      <c r="A21" s="10"/>
      <c r="B21" s="10"/>
      <c r="C21" s="6" t="s">
        <v>18</v>
      </c>
      <c r="D21" s="9" t="s">
        <v>1</v>
      </c>
      <c r="E21" s="8"/>
      <c r="F21" s="10">
        <v>8390</v>
      </c>
      <c r="G21" s="10">
        <f t="shared" si="1"/>
        <v>539490</v>
      </c>
      <c r="H21" s="10"/>
      <c r="I21" s="8">
        <v>559</v>
      </c>
      <c r="J21" s="6" t="s">
        <v>83</v>
      </c>
      <c r="K21" s="9" t="s">
        <v>0</v>
      </c>
      <c r="L21" s="8">
        <v>1032</v>
      </c>
      <c r="M21" s="10">
        <v>6480</v>
      </c>
      <c r="N21" s="10">
        <f t="shared" si="2"/>
        <v>221870</v>
      </c>
    </row>
    <row r="22" spans="1:14" s="11" customFormat="1" ht="21" customHeight="1" x14ac:dyDescent="0.25">
      <c r="A22" s="10"/>
      <c r="B22" s="10"/>
      <c r="C22" s="6"/>
      <c r="D22" s="21" t="s">
        <v>1</v>
      </c>
      <c r="E22" s="8"/>
      <c r="F22" s="10"/>
      <c r="G22" s="10">
        <f t="shared" si="1"/>
        <v>547880</v>
      </c>
      <c r="H22" s="10"/>
      <c r="I22" s="8">
        <v>560</v>
      </c>
      <c r="J22" s="6" t="s">
        <v>85</v>
      </c>
      <c r="K22" s="9" t="s">
        <v>0</v>
      </c>
      <c r="L22" s="8">
        <v>1021</v>
      </c>
      <c r="M22" s="10">
        <v>20810</v>
      </c>
      <c r="N22" s="10">
        <f t="shared" si="2"/>
        <v>228350</v>
      </c>
    </row>
    <row r="23" spans="1:14" s="11" customFormat="1" ht="21" customHeight="1" x14ac:dyDescent="0.25">
      <c r="A23" s="10"/>
      <c r="B23" s="10"/>
      <c r="C23" s="6"/>
      <c r="D23" s="21" t="s">
        <v>1</v>
      </c>
      <c r="E23" s="8"/>
      <c r="F23" s="10"/>
      <c r="G23" s="22">
        <f t="shared" si="1"/>
        <v>547880</v>
      </c>
      <c r="H23" s="10"/>
      <c r="I23" s="8">
        <v>561</v>
      </c>
      <c r="J23" s="6" t="s">
        <v>87</v>
      </c>
      <c r="K23" s="9" t="s">
        <v>0</v>
      </c>
      <c r="L23" s="8">
        <v>1023</v>
      </c>
      <c r="M23" s="10">
        <v>18120</v>
      </c>
      <c r="N23" s="10">
        <f t="shared" si="2"/>
        <v>249160</v>
      </c>
    </row>
    <row r="24" spans="1:14" s="11" customFormat="1" ht="21" customHeight="1" x14ac:dyDescent="0.25">
      <c r="A24" s="10"/>
      <c r="B24" s="10"/>
      <c r="C24" s="6"/>
      <c r="D24" s="21"/>
      <c r="E24" s="8"/>
      <c r="F24" s="10"/>
      <c r="G24" s="22">
        <f t="shared" si="1"/>
        <v>547880</v>
      </c>
      <c r="H24" s="10"/>
      <c r="I24" s="8">
        <v>562</v>
      </c>
      <c r="J24" s="6" t="s">
        <v>407</v>
      </c>
      <c r="K24" s="9" t="s">
        <v>0</v>
      </c>
      <c r="L24" s="8">
        <v>1020</v>
      </c>
      <c r="M24" s="10">
        <v>38440</v>
      </c>
      <c r="N24" s="10">
        <f t="shared" si="2"/>
        <v>267280</v>
      </c>
    </row>
    <row r="25" spans="1:14" s="11" customFormat="1" ht="21" customHeight="1" x14ac:dyDescent="0.25">
      <c r="A25" s="10"/>
      <c r="B25" s="10"/>
      <c r="C25" s="6"/>
      <c r="D25" s="21"/>
      <c r="E25" s="8"/>
      <c r="F25" s="10"/>
      <c r="G25" s="22">
        <f t="shared" si="1"/>
        <v>547880</v>
      </c>
      <c r="H25" s="10"/>
      <c r="I25" s="8">
        <v>563</v>
      </c>
      <c r="J25" s="6" t="s">
        <v>50</v>
      </c>
      <c r="K25" s="9" t="s">
        <v>0</v>
      </c>
      <c r="L25" s="8">
        <v>1025</v>
      </c>
      <c r="M25" s="10">
        <v>6050</v>
      </c>
      <c r="N25" s="10">
        <f t="shared" si="2"/>
        <v>305720</v>
      </c>
    </row>
    <row r="26" spans="1:14" s="11" customFormat="1" ht="21" customHeight="1" x14ac:dyDescent="0.25">
      <c r="A26" s="10"/>
      <c r="B26" s="10"/>
      <c r="C26" s="6"/>
      <c r="D26" s="21"/>
      <c r="E26" s="8"/>
      <c r="F26" s="10"/>
      <c r="G26" s="22">
        <f t="shared" si="1"/>
        <v>547880</v>
      </c>
      <c r="H26" s="10"/>
      <c r="I26" s="8">
        <v>564</v>
      </c>
      <c r="J26" s="6" t="s">
        <v>486</v>
      </c>
      <c r="K26" s="9" t="s">
        <v>0</v>
      </c>
      <c r="L26" s="8">
        <v>1029</v>
      </c>
      <c r="M26" s="10">
        <v>3420</v>
      </c>
      <c r="N26" s="10">
        <f t="shared" si="2"/>
        <v>311770</v>
      </c>
    </row>
    <row r="27" spans="1:14" s="11" customFormat="1" ht="21" customHeight="1" x14ac:dyDescent="0.25">
      <c r="A27" s="10"/>
      <c r="B27" s="10"/>
      <c r="C27" s="6"/>
      <c r="D27" s="21"/>
      <c r="E27" s="8"/>
      <c r="F27" s="10"/>
      <c r="G27" s="22">
        <f t="shared" si="1"/>
        <v>547880</v>
      </c>
      <c r="H27" s="10"/>
      <c r="I27" s="8">
        <v>565</v>
      </c>
      <c r="J27" s="6" t="s">
        <v>273</v>
      </c>
      <c r="K27" s="9" t="s">
        <v>0</v>
      </c>
      <c r="L27" s="8">
        <v>1027</v>
      </c>
      <c r="M27" s="10">
        <v>18200</v>
      </c>
      <c r="N27" s="10">
        <f t="shared" si="2"/>
        <v>315190</v>
      </c>
    </row>
    <row r="28" spans="1:14" s="11" customFormat="1" ht="21" customHeight="1" x14ac:dyDescent="0.25">
      <c r="A28" s="10"/>
      <c r="B28" s="10"/>
      <c r="C28" s="6"/>
      <c r="D28" s="21"/>
      <c r="E28" s="8"/>
      <c r="F28" s="10"/>
      <c r="G28" s="22">
        <f t="shared" si="1"/>
        <v>547880</v>
      </c>
      <c r="H28" s="10"/>
      <c r="I28" s="8">
        <v>566</v>
      </c>
      <c r="J28" s="6" t="s">
        <v>272</v>
      </c>
      <c r="K28" s="9" t="s">
        <v>0</v>
      </c>
      <c r="L28" s="8">
        <v>551</v>
      </c>
      <c r="M28" s="10">
        <v>2820</v>
      </c>
      <c r="N28" s="10">
        <f t="shared" si="2"/>
        <v>333390</v>
      </c>
    </row>
    <row r="29" spans="1:14" s="11" customFormat="1" ht="21" customHeight="1" x14ac:dyDescent="0.25">
      <c r="A29" s="10"/>
      <c r="B29" s="10"/>
      <c r="C29" s="6"/>
      <c r="D29" s="21"/>
      <c r="E29" s="8"/>
      <c r="F29" s="10"/>
      <c r="G29" s="22">
        <f t="shared" si="1"/>
        <v>547880</v>
      </c>
      <c r="H29" s="10"/>
      <c r="I29" s="8">
        <v>567</v>
      </c>
      <c r="J29" s="6" t="s">
        <v>110</v>
      </c>
      <c r="K29" s="9" t="s">
        <v>0</v>
      </c>
      <c r="L29" s="8">
        <v>1028</v>
      </c>
      <c r="M29" s="10">
        <v>5390</v>
      </c>
      <c r="N29" s="10">
        <f t="shared" si="2"/>
        <v>336210</v>
      </c>
    </row>
    <row r="30" spans="1:14" s="11" customFormat="1" ht="21" customHeight="1" x14ac:dyDescent="0.25">
      <c r="A30" s="10"/>
      <c r="B30" s="10"/>
      <c r="C30" s="6"/>
      <c r="D30" s="21"/>
      <c r="E30" s="8"/>
      <c r="F30" s="10"/>
      <c r="G30" s="22">
        <f t="shared" si="1"/>
        <v>547880</v>
      </c>
      <c r="H30" s="10"/>
      <c r="I30" s="8">
        <v>568</v>
      </c>
      <c r="J30" s="6" t="s">
        <v>492</v>
      </c>
      <c r="K30" s="9" t="s">
        <v>0</v>
      </c>
      <c r="L30" s="8">
        <v>1039</v>
      </c>
      <c r="M30" s="10">
        <v>3280</v>
      </c>
      <c r="N30" s="10">
        <f t="shared" si="2"/>
        <v>341600</v>
      </c>
    </row>
    <row r="31" spans="1:14" s="11" customFormat="1" ht="21" customHeight="1" x14ac:dyDescent="0.25">
      <c r="A31" s="10"/>
      <c r="B31" s="10"/>
      <c r="C31" s="6"/>
      <c r="D31" s="21"/>
      <c r="E31" s="8"/>
      <c r="F31" s="10"/>
      <c r="G31" s="22">
        <f t="shared" si="1"/>
        <v>547880</v>
      </c>
      <c r="H31" s="10"/>
      <c r="I31" s="8">
        <v>569</v>
      </c>
      <c r="J31" s="6" t="s">
        <v>170</v>
      </c>
      <c r="K31" s="9" t="s">
        <v>0</v>
      </c>
      <c r="L31" s="8">
        <v>1046</v>
      </c>
      <c r="M31" s="10">
        <v>2990</v>
      </c>
      <c r="N31" s="10">
        <f t="shared" si="2"/>
        <v>344880</v>
      </c>
    </row>
    <row r="32" spans="1:14" s="11" customFormat="1" ht="21" customHeight="1" x14ac:dyDescent="0.25">
      <c r="A32" s="10"/>
      <c r="B32" s="10"/>
      <c r="C32" s="6"/>
      <c r="D32" s="21"/>
      <c r="E32" s="8"/>
      <c r="F32" s="10"/>
      <c r="G32" s="22">
        <f t="shared" si="1"/>
        <v>547880</v>
      </c>
      <c r="H32" s="10"/>
      <c r="I32" s="8">
        <v>570</v>
      </c>
      <c r="J32" s="6" t="s">
        <v>269</v>
      </c>
      <c r="K32" s="9" t="s">
        <v>0</v>
      </c>
      <c r="L32" s="8">
        <v>1031</v>
      </c>
      <c r="M32" s="10">
        <v>5300</v>
      </c>
      <c r="N32" s="10">
        <f t="shared" si="2"/>
        <v>347870</v>
      </c>
    </row>
    <row r="33" spans="1:14" s="11" customFormat="1" ht="21" customHeight="1" x14ac:dyDescent="0.25">
      <c r="A33" s="10"/>
      <c r="B33" s="10"/>
      <c r="C33" s="6"/>
      <c r="D33" s="21"/>
      <c r="E33" s="8"/>
      <c r="F33" s="10"/>
      <c r="G33" s="22">
        <f t="shared" si="1"/>
        <v>547880</v>
      </c>
      <c r="H33" s="10"/>
      <c r="I33" s="8">
        <v>571</v>
      </c>
      <c r="J33" s="6" t="s">
        <v>514</v>
      </c>
      <c r="K33" s="9" t="s">
        <v>0</v>
      </c>
      <c r="L33" s="8">
        <v>1037</v>
      </c>
      <c r="M33" s="10">
        <v>3180</v>
      </c>
      <c r="N33" s="10">
        <f t="shared" si="2"/>
        <v>353170</v>
      </c>
    </row>
    <row r="34" spans="1:14" s="11" customFormat="1" ht="21" customHeight="1" x14ac:dyDescent="0.25">
      <c r="A34" s="10"/>
      <c r="B34" s="10"/>
      <c r="C34" s="6"/>
      <c r="D34" s="21"/>
      <c r="E34" s="8"/>
      <c r="F34" s="10"/>
      <c r="G34" s="22">
        <f t="shared" si="1"/>
        <v>547880</v>
      </c>
      <c r="H34" s="10"/>
      <c r="I34" s="8">
        <v>572</v>
      </c>
      <c r="J34" s="6" t="s">
        <v>515</v>
      </c>
      <c r="K34" s="9" t="s">
        <v>0</v>
      </c>
      <c r="L34" s="8">
        <v>1040</v>
      </c>
      <c r="M34" s="10">
        <v>10600</v>
      </c>
      <c r="N34" s="10">
        <f t="shared" si="2"/>
        <v>356350</v>
      </c>
    </row>
    <row r="35" spans="1:14" s="11" customFormat="1" ht="21" customHeight="1" x14ac:dyDescent="0.25">
      <c r="A35" s="10"/>
      <c r="B35" s="10"/>
      <c r="C35" s="6"/>
      <c r="D35" s="21" t="s">
        <v>1</v>
      </c>
      <c r="E35" s="8"/>
      <c r="F35" s="10"/>
      <c r="G35" s="22">
        <f t="shared" si="1"/>
        <v>547880</v>
      </c>
      <c r="H35" s="10"/>
      <c r="I35" s="8">
        <v>573</v>
      </c>
      <c r="J35" s="6" t="s">
        <v>516</v>
      </c>
      <c r="K35" s="9" t="s">
        <v>0</v>
      </c>
      <c r="L35" s="8">
        <v>1038</v>
      </c>
      <c r="M35" s="10">
        <v>7090</v>
      </c>
      <c r="N35" s="10">
        <f t="shared" si="2"/>
        <v>366950</v>
      </c>
    </row>
    <row r="36" spans="1:14" s="11" customFormat="1" ht="21" customHeight="1" x14ac:dyDescent="0.25">
      <c r="A36" s="10"/>
      <c r="B36" s="10"/>
      <c r="C36" s="6"/>
      <c r="D36" s="21" t="s">
        <v>1</v>
      </c>
      <c r="E36" s="8"/>
      <c r="F36" s="10"/>
      <c r="G36" s="22">
        <f t="shared" si="1"/>
        <v>547880</v>
      </c>
      <c r="H36" s="10"/>
      <c r="I36" s="8">
        <v>574</v>
      </c>
      <c r="J36" s="6" t="s">
        <v>517</v>
      </c>
      <c r="K36" s="9" t="s">
        <v>0</v>
      </c>
      <c r="L36" s="8">
        <v>1049</v>
      </c>
      <c r="M36" s="10">
        <v>1990</v>
      </c>
      <c r="N36" s="10">
        <f t="shared" si="2"/>
        <v>374040</v>
      </c>
    </row>
    <row r="37" spans="1:14" s="11" customFormat="1" ht="21" customHeight="1" x14ac:dyDescent="0.25">
      <c r="A37" s="10"/>
      <c r="B37" s="10"/>
      <c r="C37" s="6"/>
      <c r="D37" s="21" t="s">
        <v>1</v>
      </c>
      <c r="E37" s="8"/>
      <c r="F37" s="10"/>
      <c r="G37" s="22">
        <f t="shared" si="1"/>
        <v>547880</v>
      </c>
      <c r="H37" s="10"/>
      <c r="I37" s="8">
        <v>575</v>
      </c>
      <c r="J37" s="6" t="s">
        <v>290</v>
      </c>
      <c r="K37" s="9" t="s">
        <v>0</v>
      </c>
      <c r="L37" s="8">
        <v>1024</v>
      </c>
      <c r="M37" s="10">
        <v>3620</v>
      </c>
      <c r="N37" s="10">
        <f t="shared" si="2"/>
        <v>376030</v>
      </c>
    </row>
    <row r="38" spans="1:14" s="11" customFormat="1" ht="21" customHeight="1" x14ac:dyDescent="0.25">
      <c r="A38" s="10"/>
      <c r="B38" s="10"/>
      <c r="C38" s="6"/>
      <c r="D38" s="21" t="s">
        <v>1</v>
      </c>
      <c r="E38" s="8"/>
      <c r="F38" s="10"/>
      <c r="G38" s="22">
        <f t="shared" si="1"/>
        <v>547880</v>
      </c>
      <c r="H38" s="10"/>
      <c r="I38" s="8">
        <v>576</v>
      </c>
      <c r="J38" s="6" t="s">
        <v>518</v>
      </c>
      <c r="K38" s="9" t="s">
        <v>0</v>
      </c>
      <c r="L38" s="8">
        <v>1042</v>
      </c>
      <c r="M38" s="10">
        <v>2030</v>
      </c>
      <c r="N38" s="10">
        <f t="shared" si="2"/>
        <v>379650</v>
      </c>
    </row>
    <row r="39" spans="1:14" s="11" customFormat="1" ht="21" customHeight="1" x14ac:dyDescent="0.25">
      <c r="A39" s="10"/>
      <c r="B39" s="10"/>
      <c r="C39" s="6"/>
      <c r="D39" s="21" t="s">
        <v>1</v>
      </c>
      <c r="E39" s="8"/>
      <c r="F39" s="10"/>
      <c r="G39" s="22">
        <f t="shared" si="1"/>
        <v>547880</v>
      </c>
      <c r="H39" s="10"/>
      <c r="I39" s="8">
        <v>577</v>
      </c>
      <c r="J39" s="6" t="s">
        <v>519</v>
      </c>
      <c r="K39" s="9" t="s">
        <v>0</v>
      </c>
      <c r="L39" s="8">
        <v>1043</v>
      </c>
      <c r="M39" s="10">
        <v>8330</v>
      </c>
      <c r="N39" s="10">
        <f t="shared" si="2"/>
        <v>381680</v>
      </c>
    </row>
    <row r="40" spans="1:14" s="11" customFormat="1" ht="21" customHeight="1" x14ac:dyDescent="0.25">
      <c r="A40" s="10"/>
      <c r="B40" s="10"/>
      <c r="C40" s="6"/>
      <c r="D40" s="21" t="s">
        <v>1</v>
      </c>
      <c r="E40" s="8"/>
      <c r="F40" s="10"/>
      <c r="G40" s="22">
        <f t="shared" si="1"/>
        <v>547880</v>
      </c>
      <c r="H40" s="10"/>
      <c r="I40" s="8">
        <v>578</v>
      </c>
      <c r="J40" s="6" t="s">
        <v>520</v>
      </c>
      <c r="K40" s="9" t="s">
        <v>0</v>
      </c>
      <c r="L40" s="8">
        <v>1045</v>
      </c>
      <c r="M40" s="10">
        <v>2750</v>
      </c>
      <c r="N40" s="10">
        <f t="shared" si="2"/>
        <v>390010</v>
      </c>
    </row>
    <row r="41" spans="1:14" s="11" customFormat="1" ht="21" customHeight="1" x14ac:dyDescent="0.25">
      <c r="A41" s="10"/>
      <c r="B41" s="10"/>
      <c r="C41" s="6"/>
      <c r="D41" s="21" t="s">
        <v>1</v>
      </c>
      <c r="E41" s="8"/>
      <c r="F41" s="10"/>
      <c r="G41" s="22">
        <f t="shared" si="1"/>
        <v>547880</v>
      </c>
      <c r="H41" s="10"/>
      <c r="I41" s="8">
        <v>579</v>
      </c>
      <c r="J41" s="6" t="s">
        <v>372</v>
      </c>
      <c r="K41" s="9" t="s">
        <v>0</v>
      </c>
      <c r="L41" s="8">
        <v>1047</v>
      </c>
      <c r="M41" s="10">
        <v>3210</v>
      </c>
      <c r="N41" s="10">
        <f t="shared" si="2"/>
        <v>392760</v>
      </c>
    </row>
    <row r="42" spans="1:14" s="11" customFormat="1" ht="21" customHeight="1" x14ac:dyDescent="0.25">
      <c r="A42" s="10"/>
      <c r="B42" s="10"/>
      <c r="C42" s="6"/>
      <c r="D42" s="21" t="s">
        <v>1</v>
      </c>
      <c r="E42" s="8"/>
      <c r="F42" s="10"/>
      <c r="G42" s="22">
        <f t="shared" si="1"/>
        <v>547880</v>
      </c>
      <c r="H42" s="10"/>
      <c r="I42" s="8">
        <v>580</v>
      </c>
      <c r="J42" s="6" t="s">
        <v>108</v>
      </c>
      <c r="K42" s="9" t="s">
        <v>0</v>
      </c>
      <c r="L42" s="8">
        <v>1050</v>
      </c>
      <c r="M42" s="10">
        <v>3130</v>
      </c>
      <c r="N42" s="10">
        <f t="shared" si="2"/>
        <v>395970</v>
      </c>
    </row>
    <row r="43" spans="1:14" s="11" customFormat="1" ht="21" customHeight="1" x14ac:dyDescent="0.25">
      <c r="A43" s="10"/>
      <c r="B43" s="10"/>
      <c r="C43" s="42" t="s">
        <v>511</v>
      </c>
      <c r="D43" s="21" t="s">
        <v>1</v>
      </c>
      <c r="E43" s="8"/>
      <c r="F43" s="10"/>
      <c r="G43" s="22">
        <f t="shared" si="1"/>
        <v>547880</v>
      </c>
      <c r="H43" s="10"/>
      <c r="I43" s="8">
        <v>581</v>
      </c>
      <c r="J43" s="6" t="s">
        <v>39</v>
      </c>
      <c r="K43" s="9" t="s">
        <v>0</v>
      </c>
      <c r="L43" s="33" t="s">
        <v>510</v>
      </c>
      <c r="M43" s="10">
        <v>71970</v>
      </c>
      <c r="N43" s="10">
        <f t="shared" si="2"/>
        <v>399100</v>
      </c>
    </row>
    <row r="44" spans="1:14" s="11" customFormat="1" ht="21" customHeight="1" x14ac:dyDescent="0.25">
      <c r="A44" s="10"/>
      <c r="B44" s="10"/>
      <c r="C44" s="42" t="s">
        <v>512</v>
      </c>
      <c r="D44" s="21" t="s">
        <v>1</v>
      </c>
      <c r="E44" s="8"/>
      <c r="F44" s="10"/>
      <c r="G44" s="22">
        <f t="shared" si="1"/>
        <v>547880</v>
      </c>
      <c r="H44" s="10"/>
      <c r="I44" s="10"/>
      <c r="J44" s="10"/>
      <c r="K44" s="9" t="s">
        <v>0</v>
      </c>
      <c r="L44" s="33"/>
      <c r="M44" s="10"/>
      <c r="N44" s="10">
        <f t="shared" si="2"/>
        <v>471070</v>
      </c>
    </row>
    <row r="45" spans="1:14" s="11" customFormat="1" ht="21" customHeight="1" x14ac:dyDescent="0.25">
      <c r="A45" s="10"/>
      <c r="B45" s="10"/>
      <c r="C45" s="6"/>
      <c r="D45" s="21"/>
      <c r="E45" s="8"/>
      <c r="F45" s="10"/>
      <c r="G45" s="22">
        <f t="shared" si="1"/>
        <v>547880</v>
      </c>
      <c r="H45" s="10"/>
      <c r="I45" s="10"/>
      <c r="J45" s="31" t="s">
        <v>521</v>
      </c>
      <c r="K45" s="9" t="s">
        <v>0</v>
      </c>
      <c r="L45" s="33"/>
      <c r="M45" s="10"/>
      <c r="N45" s="22">
        <f t="shared" si="2"/>
        <v>471070</v>
      </c>
    </row>
    <row r="46" spans="1:14" s="11" customFormat="1" ht="21" customHeight="1" x14ac:dyDescent="0.25">
      <c r="A46" s="10"/>
      <c r="B46" s="10"/>
      <c r="C46" s="6"/>
      <c r="D46" s="21"/>
      <c r="E46" s="8"/>
      <c r="F46" s="10"/>
      <c r="G46" s="22">
        <f t="shared" si="1"/>
        <v>547880</v>
      </c>
      <c r="H46" s="10"/>
      <c r="I46" s="10"/>
      <c r="J46" s="36" t="s">
        <v>522</v>
      </c>
      <c r="K46" s="9" t="s">
        <v>0</v>
      </c>
      <c r="L46" s="33"/>
      <c r="M46" s="10"/>
      <c r="N46" s="22">
        <f t="shared" si="2"/>
        <v>471070</v>
      </c>
    </row>
    <row r="47" spans="1:14" s="11" customFormat="1" ht="21" customHeight="1" x14ac:dyDescent="0.25">
      <c r="A47" s="10"/>
      <c r="B47" s="10"/>
      <c r="C47" s="6"/>
      <c r="D47" s="21" t="s">
        <v>1</v>
      </c>
      <c r="E47" s="10"/>
      <c r="F47" s="10"/>
      <c r="G47" s="22">
        <f t="shared" si="1"/>
        <v>547880</v>
      </c>
      <c r="H47" s="10"/>
      <c r="I47" s="10"/>
      <c r="J47" s="31" t="s">
        <v>523</v>
      </c>
      <c r="K47" s="9" t="s">
        <v>0</v>
      </c>
      <c r="L47" s="10"/>
      <c r="M47" s="10"/>
      <c r="N47" s="22">
        <f t="shared" si="2"/>
        <v>471070</v>
      </c>
    </row>
    <row r="48" spans="1:14" ht="31.5" customHeight="1" x14ac:dyDescent="0.25">
      <c r="A48" s="46" t="s">
        <v>9</v>
      </c>
      <c r="B48" s="46"/>
      <c r="C48" s="47"/>
      <c r="D48" s="54">
        <f>G47+F47</f>
        <v>547880</v>
      </c>
      <c r="E48" s="54"/>
      <c r="F48" s="54"/>
      <c r="G48" s="54"/>
      <c r="H48" s="48" t="s">
        <v>10</v>
      </c>
      <c r="I48" s="48"/>
      <c r="J48" s="49"/>
      <c r="K48" s="54">
        <f>N47+M47</f>
        <v>471070</v>
      </c>
      <c r="L48" s="54"/>
      <c r="M48" s="54"/>
      <c r="N48" s="54"/>
    </row>
    <row r="49" spans="1:14" ht="30.75" customHeight="1" x14ac:dyDescent="0.25">
      <c r="A49" s="48" t="s">
        <v>10</v>
      </c>
      <c r="B49" s="48"/>
      <c r="C49" s="49"/>
      <c r="D49" s="55">
        <f>K48</f>
        <v>471070</v>
      </c>
      <c r="E49" s="55"/>
      <c r="F49" s="55"/>
      <c r="G49" s="55"/>
      <c r="H49" s="59"/>
      <c r="I49" s="59"/>
      <c r="J49" s="13"/>
      <c r="K49" s="61"/>
      <c r="L49" s="61"/>
      <c r="M49" s="61"/>
      <c r="N49" s="14"/>
    </row>
    <row r="50" spans="1:14" ht="36.75" customHeight="1" x14ac:dyDescent="0.25">
      <c r="A50" s="50" t="s">
        <v>11</v>
      </c>
      <c r="B50" s="50"/>
      <c r="C50" s="51"/>
      <c r="D50" s="63">
        <f>D48-D49</f>
        <v>76810</v>
      </c>
      <c r="E50" s="63"/>
      <c r="F50" s="63"/>
      <c r="G50" s="63"/>
      <c r="H50" s="59"/>
      <c r="I50" s="59"/>
      <c r="J50" s="13"/>
      <c r="K50" s="60"/>
      <c r="L50" s="60"/>
      <c r="M50" s="60"/>
      <c r="N50" s="15"/>
    </row>
    <row r="51" spans="1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1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1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1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1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1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  <row r="57" spans="1:14" ht="21" customHeight="1" x14ac:dyDescent="0.25">
      <c r="C57" s="7"/>
      <c r="D57" s="4"/>
      <c r="E57" s="4"/>
      <c r="F57" s="4"/>
      <c r="G57" s="4"/>
      <c r="J57" s="7"/>
      <c r="K57" s="4"/>
      <c r="L57" s="4"/>
      <c r="M57" s="4"/>
      <c r="N57" s="4"/>
    </row>
    <row r="58" spans="1:14" ht="21" customHeight="1" x14ac:dyDescent="0.25">
      <c r="C58" s="7"/>
      <c r="D58" s="4"/>
      <c r="E58" s="4"/>
      <c r="F58" s="4"/>
      <c r="G58" s="4"/>
      <c r="J58" s="7"/>
      <c r="K58" s="4"/>
      <c r="L58" s="4"/>
      <c r="M58" s="4"/>
      <c r="N58" s="4"/>
    </row>
    <row r="59" spans="1:14" ht="21" customHeight="1" x14ac:dyDescent="0.25">
      <c r="C59" s="7"/>
      <c r="D59" s="4"/>
      <c r="E59" s="4"/>
      <c r="F59" s="4"/>
      <c r="G59" s="4"/>
      <c r="J59" s="7"/>
      <c r="K59" s="4"/>
      <c r="L59" s="4"/>
      <c r="M59" s="4"/>
      <c r="N59" s="4"/>
    </row>
  </sheetData>
  <mergeCells count="21">
    <mergeCell ref="A50:C50"/>
    <mergeCell ref="D50:G50"/>
    <mergeCell ref="H50:I50"/>
    <mergeCell ref="K50:M50"/>
    <mergeCell ref="A4:E4"/>
    <mergeCell ref="A48:C48"/>
    <mergeCell ref="D48:G48"/>
    <mergeCell ref="H48:J48"/>
    <mergeCell ref="K48:N48"/>
    <mergeCell ref="A49:C49"/>
    <mergeCell ref="D49:G49"/>
    <mergeCell ref="H49:I49"/>
    <mergeCell ref="K49:M49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N57"/>
  <sheetViews>
    <sheetView view="pageBreakPreview" topLeftCell="A25" zoomScale="115" zoomScaleNormal="145" zoomScaleSheetLayoutView="115" zoomScalePageLayoutView="85" workbookViewId="0">
      <selection activeCell="J43" sqref="J43:J4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341</v>
      </c>
      <c r="D3" s="58" t="s">
        <v>4</v>
      </c>
      <c r="E3" s="58"/>
      <c r="F3" s="17" t="s">
        <v>3</v>
      </c>
      <c r="G3" s="3">
        <v>45593</v>
      </c>
      <c r="H3" s="57" t="s">
        <v>8</v>
      </c>
      <c r="I3" s="57"/>
      <c r="J3" s="18" t="s">
        <v>341</v>
      </c>
      <c r="K3" s="62" t="s">
        <v>5</v>
      </c>
      <c r="L3" s="62"/>
      <c r="M3" s="17" t="s">
        <v>3</v>
      </c>
      <c r="N3" s="3">
        <v>45593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(27)'!D50</f>
        <v>76810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460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19130</v>
      </c>
      <c r="G5" s="10">
        <f>F4</f>
        <v>76810</v>
      </c>
      <c r="H5" s="8"/>
      <c r="I5" s="8"/>
      <c r="J5" s="31" t="s">
        <v>54</v>
      </c>
      <c r="K5" s="9" t="s">
        <v>0</v>
      </c>
      <c r="L5" s="8"/>
      <c r="M5" s="10">
        <v>2030</v>
      </c>
      <c r="N5" s="10">
        <f>M4</f>
        <v>460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90</v>
      </c>
      <c r="G6" s="10">
        <f>G5+F5</f>
        <v>95940</v>
      </c>
      <c r="H6" s="8"/>
      <c r="I6" s="8"/>
      <c r="J6" s="31" t="s">
        <v>100</v>
      </c>
      <c r="K6" s="9" t="s">
        <v>0</v>
      </c>
      <c r="L6" s="8"/>
      <c r="M6" s="10">
        <v>700</v>
      </c>
      <c r="N6" s="10">
        <f t="shared" ref="N6" si="0">N5+M5</f>
        <v>2490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90</v>
      </c>
      <c r="G7" s="10">
        <f t="shared" ref="G7:G44" si="1">G6+F6</f>
        <v>96030</v>
      </c>
      <c r="H7" s="8"/>
      <c r="I7" s="8"/>
      <c r="J7" s="6" t="s">
        <v>508</v>
      </c>
      <c r="K7" s="9" t="s">
        <v>0</v>
      </c>
      <c r="L7" s="8"/>
      <c r="M7" s="10">
        <v>3500</v>
      </c>
      <c r="N7" s="10">
        <f>N6+M6</f>
        <v>3190</v>
      </c>
    </row>
    <row r="8" spans="1:14" s="11" customFormat="1" ht="21" customHeight="1" x14ac:dyDescent="0.25">
      <c r="A8" s="8"/>
      <c r="B8" s="8"/>
      <c r="C8" s="6" t="s">
        <v>174</v>
      </c>
      <c r="D8" s="9" t="s">
        <v>1</v>
      </c>
      <c r="E8" s="8"/>
      <c r="F8" s="10">
        <v>8360</v>
      </c>
      <c r="G8" s="10">
        <f t="shared" si="1"/>
        <v>96120</v>
      </c>
      <c r="H8" s="8"/>
      <c r="I8" s="8"/>
      <c r="J8" s="6" t="s">
        <v>524</v>
      </c>
      <c r="K8" s="9" t="s">
        <v>0</v>
      </c>
      <c r="L8" s="8"/>
      <c r="M8" s="10">
        <v>1000</v>
      </c>
      <c r="N8" s="10">
        <f t="shared" ref="N8:N45" si="2">N7+M7</f>
        <v>6690</v>
      </c>
    </row>
    <row r="9" spans="1:14" s="11" customFormat="1" ht="21" customHeight="1" x14ac:dyDescent="0.25">
      <c r="A9" s="8"/>
      <c r="B9" s="8"/>
      <c r="C9" s="6" t="s">
        <v>173</v>
      </c>
      <c r="D9" s="9" t="s">
        <v>1</v>
      </c>
      <c r="E9" s="8"/>
      <c r="F9" s="10">
        <v>38140</v>
      </c>
      <c r="G9" s="10">
        <f t="shared" si="1"/>
        <v>104480</v>
      </c>
      <c r="H9" s="8"/>
      <c r="I9" s="8"/>
      <c r="J9" s="6" t="s">
        <v>525</v>
      </c>
      <c r="K9" s="9" t="s">
        <v>0</v>
      </c>
      <c r="L9" s="8"/>
      <c r="M9" s="10">
        <v>1000</v>
      </c>
      <c r="N9" s="10">
        <f t="shared" si="2"/>
        <v>7690</v>
      </c>
    </row>
    <row r="10" spans="1:14" s="11" customFormat="1" ht="21" customHeight="1" x14ac:dyDescent="0.25">
      <c r="A10" s="8"/>
      <c r="B10" s="8"/>
      <c r="C10" s="6" t="s">
        <v>531</v>
      </c>
      <c r="D10" s="9" t="s">
        <v>1</v>
      </c>
      <c r="E10" s="8"/>
      <c r="F10" s="10">
        <v>13460</v>
      </c>
      <c r="G10" s="10">
        <f t="shared" si="1"/>
        <v>142620</v>
      </c>
      <c r="H10" s="8"/>
      <c r="I10" s="8"/>
      <c r="J10" s="6" t="s">
        <v>343</v>
      </c>
      <c r="K10" s="9" t="s">
        <v>0</v>
      </c>
      <c r="L10" s="8"/>
      <c r="M10" s="10">
        <v>7500</v>
      </c>
      <c r="N10" s="10">
        <f t="shared" si="2"/>
        <v>8690</v>
      </c>
    </row>
    <row r="11" spans="1:14" s="11" customFormat="1" ht="21" customHeight="1" x14ac:dyDescent="0.25">
      <c r="A11" s="8"/>
      <c r="B11" s="8"/>
      <c r="C11" s="6" t="s">
        <v>43</v>
      </c>
      <c r="D11" s="9" t="s">
        <v>1</v>
      </c>
      <c r="E11" s="8"/>
      <c r="F11" s="10">
        <v>47610</v>
      </c>
      <c r="G11" s="10">
        <f t="shared" si="1"/>
        <v>156080</v>
      </c>
      <c r="H11" s="8"/>
      <c r="I11" s="8">
        <v>582</v>
      </c>
      <c r="J11" s="6" t="s">
        <v>173</v>
      </c>
      <c r="K11" s="9" t="s">
        <v>0</v>
      </c>
      <c r="L11" s="8">
        <v>556</v>
      </c>
      <c r="M11" s="10">
        <v>3060</v>
      </c>
      <c r="N11" s="10">
        <f t="shared" si="2"/>
        <v>16190</v>
      </c>
    </row>
    <row r="12" spans="1:14" s="11" customFormat="1" ht="21" customHeight="1" x14ac:dyDescent="0.25">
      <c r="A12" s="8"/>
      <c r="B12" s="8"/>
      <c r="C12" s="6" t="s">
        <v>46</v>
      </c>
      <c r="D12" s="9" t="s">
        <v>1</v>
      </c>
      <c r="E12" s="8"/>
      <c r="F12" s="10">
        <v>15000</v>
      </c>
      <c r="G12" s="10">
        <f t="shared" si="1"/>
        <v>203690</v>
      </c>
      <c r="H12" s="8"/>
      <c r="I12" s="8">
        <v>583</v>
      </c>
      <c r="J12" s="6" t="s">
        <v>43</v>
      </c>
      <c r="K12" s="9" t="s">
        <v>0</v>
      </c>
      <c r="L12" s="8">
        <v>555</v>
      </c>
      <c r="M12" s="10">
        <v>81850</v>
      </c>
      <c r="N12" s="10">
        <f t="shared" si="2"/>
        <v>19250</v>
      </c>
    </row>
    <row r="13" spans="1:14" s="11" customFormat="1" ht="21" customHeight="1" x14ac:dyDescent="0.25">
      <c r="A13" s="8"/>
      <c r="B13" s="8"/>
      <c r="C13" s="6" t="s">
        <v>49</v>
      </c>
      <c r="D13" s="9" t="s">
        <v>1</v>
      </c>
      <c r="E13" s="8"/>
      <c r="F13" s="10">
        <v>15000</v>
      </c>
      <c r="G13" s="10">
        <f t="shared" si="1"/>
        <v>218690</v>
      </c>
      <c r="H13" s="8"/>
      <c r="I13" s="8">
        <v>584</v>
      </c>
      <c r="J13" s="6" t="s">
        <v>46</v>
      </c>
      <c r="K13" s="9" t="s">
        <v>0</v>
      </c>
      <c r="L13" s="8">
        <v>562</v>
      </c>
      <c r="M13" s="10">
        <v>33000</v>
      </c>
      <c r="N13" s="10">
        <f t="shared" si="2"/>
        <v>101100</v>
      </c>
    </row>
    <row r="14" spans="1:14" s="11" customFormat="1" ht="21" customHeight="1" x14ac:dyDescent="0.25">
      <c r="A14" s="8"/>
      <c r="B14" s="8"/>
      <c r="C14" s="6" t="s">
        <v>320</v>
      </c>
      <c r="D14" s="9" t="s">
        <v>1</v>
      </c>
      <c r="E14" s="8"/>
      <c r="F14" s="10">
        <v>45000</v>
      </c>
      <c r="G14" s="10">
        <f t="shared" si="1"/>
        <v>233690</v>
      </c>
      <c r="H14" s="8"/>
      <c r="I14" s="8">
        <v>585</v>
      </c>
      <c r="J14" s="6" t="s">
        <v>49</v>
      </c>
      <c r="K14" s="9" t="s">
        <v>0</v>
      </c>
      <c r="L14" s="8">
        <v>554</v>
      </c>
      <c r="M14" s="10">
        <v>35630</v>
      </c>
      <c r="N14" s="10">
        <f t="shared" si="2"/>
        <v>134100</v>
      </c>
    </row>
    <row r="15" spans="1:14" s="11" customFormat="1" ht="21" customHeight="1" x14ac:dyDescent="0.25">
      <c r="A15" s="10"/>
      <c r="B15" s="10"/>
      <c r="C15" s="6" t="s">
        <v>271</v>
      </c>
      <c r="D15" s="9" t="s">
        <v>1</v>
      </c>
      <c r="E15" s="8"/>
      <c r="F15" s="10">
        <v>36000</v>
      </c>
      <c r="G15" s="10">
        <f t="shared" si="1"/>
        <v>278690</v>
      </c>
      <c r="H15" s="10"/>
      <c r="I15" s="8">
        <v>586</v>
      </c>
      <c r="J15" s="6" t="s">
        <v>320</v>
      </c>
      <c r="K15" s="9" t="s">
        <v>0</v>
      </c>
      <c r="L15" s="8">
        <v>559</v>
      </c>
      <c r="M15" s="10">
        <v>13630</v>
      </c>
      <c r="N15" s="10">
        <f t="shared" si="2"/>
        <v>169730</v>
      </c>
    </row>
    <row r="16" spans="1:14" s="11" customFormat="1" ht="21" customHeight="1" x14ac:dyDescent="0.25">
      <c r="A16" s="10"/>
      <c r="B16" s="10"/>
      <c r="C16" s="6" t="s">
        <v>328</v>
      </c>
      <c r="D16" s="9" t="s">
        <v>1</v>
      </c>
      <c r="E16" s="8"/>
      <c r="F16" s="10">
        <v>10000</v>
      </c>
      <c r="G16" s="10">
        <f t="shared" si="1"/>
        <v>314690</v>
      </c>
      <c r="H16" s="10"/>
      <c r="I16" s="8">
        <v>587</v>
      </c>
      <c r="J16" s="6" t="s">
        <v>44</v>
      </c>
      <c r="K16" s="9" t="s">
        <v>0</v>
      </c>
      <c r="L16" s="8">
        <v>564</v>
      </c>
      <c r="M16" s="10">
        <v>2380</v>
      </c>
      <c r="N16" s="10">
        <f t="shared" si="2"/>
        <v>183360</v>
      </c>
    </row>
    <row r="17" spans="1:14" s="11" customFormat="1" ht="21" customHeight="1" x14ac:dyDescent="0.25">
      <c r="A17" s="10"/>
      <c r="B17" s="10"/>
      <c r="C17" s="6" t="s">
        <v>50</v>
      </c>
      <c r="D17" s="9" t="s">
        <v>1</v>
      </c>
      <c r="E17" s="8"/>
      <c r="F17" s="10">
        <v>3510</v>
      </c>
      <c r="G17" s="10">
        <f t="shared" si="1"/>
        <v>324690</v>
      </c>
      <c r="H17" s="10"/>
      <c r="I17" s="8">
        <v>588</v>
      </c>
      <c r="J17" s="6" t="s">
        <v>281</v>
      </c>
      <c r="K17" s="9" t="s">
        <v>0</v>
      </c>
      <c r="L17" s="8">
        <v>561</v>
      </c>
      <c r="M17" s="10">
        <v>10630</v>
      </c>
      <c r="N17" s="10">
        <f t="shared" si="2"/>
        <v>185740</v>
      </c>
    </row>
    <row r="18" spans="1:14" s="11" customFormat="1" ht="21" customHeight="1" x14ac:dyDescent="0.25">
      <c r="A18" s="10"/>
      <c r="B18" s="10"/>
      <c r="C18" s="6" t="s">
        <v>442</v>
      </c>
      <c r="D18" s="9" t="s">
        <v>1</v>
      </c>
      <c r="E18" s="8"/>
      <c r="F18" s="10">
        <v>3500</v>
      </c>
      <c r="G18" s="10">
        <f t="shared" si="1"/>
        <v>328200</v>
      </c>
      <c r="H18" s="10"/>
      <c r="I18" s="8">
        <v>589</v>
      </c>
      <c r="J18" s="6" t="s">
        <v>18</v>
      </c>
      <c r="K18" s="9" t="s">
        <v>0</v>
      </c>
      <c r="L18" s="8">
        <v>560</v>
      </c>
      <c r="M18" s="10">
        <v>28350</v>
      </c>
      <c r="N18" s="10">
        <f t="shared" si="2"/>
        <v>196370</v>
      </c>
    </row>
    <row r="19" spans="1:14" s="11" customFormat="1" ht="21" customHeight="1" x14ac:dyDescent="0.25">
      <c r="A19" s="10"/>
      <c r="B19" s="10"/>
      <c r="C19" s="6" t="s">
        <v>272</v>
      </c>
      <c r="D19" s="9" t="s">
        <v>1</v>
      </c>
      <c r="E19" s="8"/>
      <c r="F19" s="10">
        <v>2820</v>
      </c>
      <c r="G19" s="10">
        <f t="shared" si="1"/>
        <v>331700</v>
      </c>
      <c r="H19" s="10"/>
      <c r="I19" s="8">
        <v>590</v>
      </c>
      <c r="J19" s="6" t="s">
        <v>402</v>
      </c>
      <c r="K19" s="9" t="s">
        <v>0</v>
      </c>
      <c r="L19" s="8">
        <v>572</v>
      </c>
      <c r="M19" s="10">
        <v>4390</v>
      </c>
      <c r="N19" s="10">
        <f t="shared" si="2"/>
        <v>224720</v>
      </c>
    </row>
    <row r="20" spans="1:14" s="11" customFormat="1" ht="21" customHeight="1" x14ac:dyDescent="0.25">
      <c r="A20" s="10"/>
      <c r="B20" s="10"/>
      <c r="C20" s="6" t="s">
        <v>19</v>
      </c>
      <c r="D20" s="9" t="s">
        <v>1</v>
      </c>
      <c r="E20" s="8"/>
      <c r="F20" s="10">
        <v>35740</v>
      </c>
      <c r="G20" s="10">
        <f t="shared" si="1"/>
        <v>334520</v>
      </c>
      <c r="H20" s="10"/>
      <c r="I20" s="8">
        <v>591</v>
      </c>
      <c r="J20" s="6" t="s">
        <v>112</v>
      </c>
      <c r="K20" s="9" t="s">
        <v>0</v>
      </c>
      <c r="L20" s="8">
        <v>580</v>
      </c>
      <c r="M20" s="10">
        <v>4580</v>
      </c>
      <c r="N20" s="10">
        <f t="shared" si="2"/>
        <v>229110</v>
      </c>
    </row>
    <row r="21" spans="1:14" s="11" customFormat="1" ht="21" customHeight="1" x14ac:dyDescent="0.25">
      <c r="A21" s="10"/>
      <c r="B21" s="10"/>
      <c r="C21" s="6" t="s">
        <v>87</v>
      </c>
      <c r="D21" s="9" t="s">
        <v>1</v>
      </c>
      <c r="E21" s="8"/>
      <c r="F21" s="10">
        <v>18120</v>
      </c>
      <c r="G21" s="10">
        <f t="shared" si="1"/>
        <v>370260</v>
      </c>
      <c r="H21" s="10"/>
      <c r="I21" s="8">
        <v>592</v>
      </c>
      <c r="J21" s="6" t="s">
        <v>19</v>
      </c>
      <c r="K21" s="9" t="s">
        <v>0</v>
      </c>
      <c r="L21" s="8">
        <v>557</v>
      </c>
      <c r="M21" s="10">
        <v>14730</v>
      </c>
      <c r="N21" s="10">
        <f t="shared" si="2"/>
        <v>233690</v>
      </c>
    </row>
    <row r="22" spans="1:14" s="11" customFormat="1" ht="21" customHeight="1" x14ac:dyDescent="0.25">
      <c r="A22" s="10"/>
      <c r="B22" s="10"/>
      <c r="C22" s="6" t="s">
        <v>532</v>
      </c>
      <c r="D22" s="9" t="s">
        <v>1</v>
      </c>
      <c r="E22" s="8"/>
      <c r="F22" s="10">
        <v>6050</v>
      </c>
      <c r="G22" s="10">
        <f t="shared" si="1"/>
        <v>388380</v>
      </c>
      <c r="H22" s="10"/>
      <c r="I22" s="8">
        <v>593</v>
      </c>
      <c r="J22" s="6" t="s">
        <v>534</v>
      </c>
      <c r="K22" s="9" t="s">
        <v>0</v>
      </c>
      <c r="L22" s="8">
        <v>568</v>
      </c>
      <c r="M22" s="10">
        <v>2810</v>
      </c>
      <c r="N22" s="10">
        <f t="shared" si="2"/>
        <v>248420</v>
      </c>
    </row>
    <row r="23" spans="1:14" s="11" customFormat="1" ht="21" customHeight="1" x14ac:dyDescent="0.25">
      <c r="A23" s="10"/>
      <c r="B23" s="10"/>
      <c r="C23" s="6" t="s">
        <v>281</v>
      </c>
      <c r="D23" s="9" t="s">
        <v>1</v>
      </c>
      <c r="E23" s="8"/>
      <c r="F23" s="10">
        <v>23620</v>
      </c>
      <c r="G23" s="10">
        <f t="shared" si="1"/>
        <v>394430</v>
      </c>
      <c r="H23" s="10"/>
      <c r="I23" s="8">
        <v>594</v>
      </c>
      <c r="J23" s="6" t="s">
        <v>85</v>
      </c>
      <c r="K23" s="9" t="s">
        <v>0</v>
      </c>
      <c r="L23" s="8">
        <v>553</v>
      </c>
      <c r="M23" s="10">
        <v>71270</v>
      </c>
      <c r="N23" s="10">
        <f t="shared" si="2"/>
        <v>251230</v>
      </c>
    </row>
    <row r="24" spans="1:14" s="11" customFormat="1" ht="21" customHeight="1" x14ac:dyDescent="0.25">
      <c r="A24" s="10"/>
      <c r="B24" s="10"/>
      <c r="C24" s="6" t="s">
        <v>273</v>
      </c>
      <c r="D24" s="9" t="s">
        <v>1</v>
      </c>
      <c r="E24" s="8"/>
      <c r="F24" s="10">
        <v>15200</v>
      </c>
      <c r="G24" s="10">
        <f t="shared" si="1"/>
        <v>418050</v>
      </c>
      <c r="H24" s="10"/>
      <c r="I24" s="8">
        <v>595</v>
      </c>
      <c r="J24" s="6" t="s">
        <v>107</v>
      </c>
      <c r="K24" s="9" t="s">
        <v>0</v>
      </c>
      <c r="L24" s="8">
        <v>569</v>
      </c>
      <c r="M24" s="10">
        <v>11990</v>
      </c>
      <c r="N24" s="10">
        <f t="shared" si="2"/>
        <v>322500</v>
      </c>
    </row>
    <row r="25" spans="1:14" s="11" customFormat="1" ht="21" customHeight="1" x14ac:dyDescent="0.25">
      <c r="A25" s="10"/>
      <c r="B25" s="10"/>
      <c r="C25" s="6" t="s">
        <v>110</v>
      </c>
      <c r="D25" s="9" t="s">
        <v>1</v>
      </c>
      <c r="E25" s="8"/>
      <c r="F25" s="10">
        <v>5390</v>
      </c>
      <c r="G25" s="10">
        <f t="shared" si="1"/>
        <v>433250</v>
      </c>
      <c r="H25" s="10"/>
      <c r="I25" s="8">
        <v>596</v>
      </c>
      <c r="J25" s="6" t="s">
        <v>417</v>
      </c>
      <c r="K25" s="9" t="s">
        <v>0</v>
      </c>
      <c r="L25" s="8">
        <v>574</v>
      </c>
      <c r="M25" s="10">
        <v>1800</v>
      </c>
      <c r="N25" s="10">
        <f t="shared" si="2"/>
        <v>334490</v>
      </c>
    </row>
    <row r="26" spans="1:14" s="11" customFormat="1" ht="21" customHeight="1" x14ac:dyDescent="0.25">
      <c r="A26" s="10"/>
      <c r="B26" s="10"/>
      <c r="C26" s="6" t="s">
        <v>171</v>
      </c>
      <c r="D26" s="9" t="s">
        <v>1</v>
      </c>
      <c r="E26" s="8"/>
      <c r="F26" s="10">
        <v>3420</v>
      </c>
      <c r="G26" s="10">
        <f t="shared" si="1"/>
        <v>438640</v>
      </c>
      <c r="H26" s="10"/>
      <c r="I26" s="8">
        <v>597</v>
      </c>
      <c r="J26" s="6" t="s">
        <v>348</v>
      </c>
      <c r="K26" s="9" t="s">
        <v>0</v>
      </c>
      <c r="L26" s="8">
        <v>566</v>
      </c>
      <c r="M26" s="10">
        <v>4000</v>
      </c>
      <c r="N26" s="10">
        <f t="shared" si="2"/>
        <v>336290</v>
      </c>
    </row>
    <row r="27" spans="1:14" s="11" customFormat="1" ht="21" customHeight="1" x14ac:dyDescent="0.25">
      <c r="A27" s="10"/>
      <c r="B27" s="10"/>
      <c r="C27" s="6" t="s">
        <v>83</v>
      </c>
      <c r="D27" s="9" t="s">
        <v>1</v>
      </c>
      <c r="E27" s="8"/>
      <c r="F27" s="10">
        <v>6480</v>
      </c>
      <c r="G27" s="10">
        <f t="shared" si="1"/>
        <v>442060</v>
      </c>
      <c r="H27" s="10"/>
      <c r="I27" s="8">
        <v>598</v>
      </c>
      <c r="J27" s="6" t="s">
        <v>273</v>
      </c>
      <c r="K27" s="9" t="s">
        <v>0</v>
      </c>
      <c r="L27" s="8">
        <v>565</v>
      </c>
      <c r="M27" s="10">
        <v>6380</v>
      </c>
      <c r="N27" s="10">
        <f t="shared" si="2"/>
        <v>340290</v>
      </c>
    </row>
    <row r="28" spans="1:14" s="11" customFormat="1" ht="21" customHeight="1" x14ac:dyDescent="0.25">
      <c r="A28" s="10"/>
      <c r="B28" s="10"/>
      <c r="C28" s="6" t="s">
        <v>513</v>
      </c>
      <c r="D28" s="9" t="s">
        <v>1</v>
      </c>
      <c r="E28" s="8"/>
      <c r="F28" s="10">
        <v>1300</v>
      </c>
      <c r="G28" s="10">
        <f t="shared" si="1"/>
        <v>448540</v>
      </c>
      <c r="H28" s="10"/>
      <c r="I28" s="8">
        <v>599</v>
      </c>
      <c r="J28" s="6" t="s">
        <v>370</v>
      </c>
      <c r="K28" s="9" t="s">
        <v>0</v>
      </c>
      <c r="L28" s="8">
        <v>558</v>
      </c>
      <c r="M28" s="10">
        <v>26820</v>
      </c>
      <c r="N28" s="10">
        <f t="shared" si="2"/>
        <v>346670</v>
      </c>
    </row>
    <row r="29" spans="1:14" s="11" customFormat="1" ht="21" customHeight="1" x14ac:dyDescent="0.25">
      <c r="A29" s="10"/>
      <c r="B29" s="10"/>
      <c r="C29" s="6" t="s">
        <v>402</v>
      </c>
      <c r="D29" s="9" t="s">
        <v>1</v>
      </c>
      <c r="E29" s="8"/>
      <c r="F29" s="10">
        <v>9500</v>
      </c>
      <c r="G29" s="10">
        <f t="shared" si="1"/>
        <v>449840</v>
      </c>
      <c r="H29" s="10"/>
      <c r="I29" s="8">
        <v>600</v>
      </c>
      <c r="J29" s="6" t="s">
        <v>272</v>
      </c>
      <c r="K29" s="9" t="s">
        <v>0</v>
      </c>
      <c r="L29" s="8">
        <v>581</v>
      </c>
      <c r="M29" s="10">
        <v>2520</v>
      </c>
      <c r="N29" s="10">
        <f t="shared" si="2"/>
        <v>373490</v>
      </c>
    </row>
    <row r="30" spans="1:14" s="11" customFormat="1" ht="21" customHeight="1" x14ac:dyDescent="0.25">
      <c r="A30" s="10"/>
      <c r="B30" s="10"/>
      <c r="C30" s="6" t="s">
        <v>533</v>
      </c>
      <c r="D30" s="9" t="s">
        <v>1</v>
      </c>
      <c r="E30" s="8"/>
      <c r="F30" s="10">
        <v>3180</v>
      </c>
      <c r="G30" s="10">
        <f t="shared" si="1"/>
        <v>459340</v>
      </c>
      <c r="H30" s="10"/>
      <c r="I30" s="8">
        <v>601</v>
      </c>
      <c r="J30" s="6" t="s">
        <v>110</v>
      </c>
      <c r="K30" s="9" t="s">
        <v>0</v>
      </c>
      <c r="L30" s="8">
        <v>571</v>
      </c>
      <c r="M30" s="10">
        <v>7530</v>
      </c>
      <c r="N30" s="10">
        <f t="shared" si="2"/>
        <v>376010</v>
      </c>
    </row>
    <row r="31" spans="1:14" s="11" customFormat="1" ht="21" customHeight="1" x14ac:dyDescent="0.25">
      <c r="A31" s="10"/>
      <c r="B31" s="10"/>
      <c r="C31" s="6" t="s">
        <v>199</v>
      </c>
      <c r="D31" s="9" t="s">
        <v>1</v>
      </c>
      <c r="E31" s="8"/>
      <c r="F31" s="10">
        <v>7090</v>
      </c>
      <c r="G31" s="10">
        <f t="shared" si="1"/>
        <v>462520</v>
      </c>
      <c r="H31" s="10"/>
      <c r="I31" s="8">
        <v>602</v>
      </c>
      <c r="J31" s="6" t="s">
        <v>111</v>
      </c>
      <c r="K31" s="9" t="s">
        <v>0</v>
      </c>
      <c r="L31" s="8">
        <v>570</v>
      </c>
      <c r="M31" s="10">
        <v>13140</v>
      </c>
      <c r="N31" s="10">
        <f t="shared" si="2"/>
        <v>383540</v>
      </c>
    </row>
    <row r="32" spans="1:14" s="11" customFormat="1" ht="21" customHeight="1" x14ac:dyDescent="0.25">
      <c r="A32" s="10"/>
      <c r="B32" s="10"/>
      <c r="C32" s="6" t="s">
        <v>170</v>
      </c>
      <c r="D32" s="9" t="s">
        <v>1</v>
      </c>
      <c r="E32" s="8"/>
      <c r="F32" s="10">
        <v>810</v>
      </c>
      <c r="G32" s="10">
        <f t="shared" si="1"/>
        <v>469610</v>
      </c>
      <c r="H32" s="10"/>
      <c r="I32" s="8">
        <v>603</v>
      </c>
      <c r="J32" s="6" t="s">
        <v>442</v>
      </c>
      <c r="K32" s="9" t="s">
        <v>0</v>
      </c>
      <c r="L32" s="8">
        <v>576</v>
      </c>
      <c r="M32" s="10">
        <v>4900</v>
      </c>
      <c r="N32" s="10">
        <f t="shared" si="2"/>
        <v>396680</v>
      </c>
    </row>
    <row r="33" spans="1:14" s="11" customFormat="1" ht="21" customHeight="1" x14ac:dyDescent="0.25">
      <c r="A33" s="10"/>
      <c r="B33" s="10"/>
      <c r="C33" s="6" t="s">
        <v>18</v>
      </c>
      <c r="D33" s="9" t="s">
        <v>1</v>
      </c>
      <c r="E33" s="8"/>
      <c r="F33" s="10">
        <v>1380</v>
      </c>
      <c r="G33" s="10">
        <f t="shared" si="1"/>
        <v>470420</v>
      </c>
      <c r="H33" s="10"/>
      <c r="I33" s="8">
        <v>604</v>
      </c>
      <c r="J33" s="6" t="s">
        <v>372</v>
      </c>
      <c r="K33" s="9" t="s">
        <v>0</v>
      </c>
      <c r="L33" s="8">
        <v>579</v>
      </c>
      <c r="M33" s="10">
        <v>3130</v>
      </c>
      <c r="N33" s="10">
        <f t="shared" si="2"/>
        <v>401580</v>
      </c>
    </row>
    <row r="34" spans="1:14" s="11" customFormat="1" ht="21" customHeight="1" x14ac:dyDescent="0.25">
      <c r="A34" s="10"/>
      <c r="B34" s="10"/>
      <c r="C34" s="6" t="s">
        <v>170</v>
      </c>
      <c r="D34" s="9" t="s">
        <v>1</v>
      </c>
      <c r="E34" s="8"/>
      <c r="F34" s="10">
        <v>2180</v>
      </c>
      <c r="G34" s="10">
        <f t="shared" si="1"/>
        <v>471800</v>
      </c>
      <c r="H34" s="10"/>
      <c r="I34" s="8">
        <v>605</v>
      </c>
      <c r="J34" s="6" t="s">
        <v>533</v>
      </c>
      <c r="K34" s="9" t="s">
        <v>0</v>
      </c>
      <c r="L34" s="8">
        <v>578</v>
      </c>
      <c r="M34" s="10">
        <v>2650</v>
      </c>
      <c r="N34" s="10">
        <f t="shared" si="2"/>
        <v>404710</v>
      </c>
    </row>
    <row r="35" spans="1:14" s="11" customFormat="1" ht="21" customHeight="1" x14ac:dyDescent="0.25">
      <c r="A35" s="10"/>
      <c r="B35" s="10"/>
      <c r="C35" s="6" t="s">
        <v>372</v>
      </c>
      <c r="D35" s="9" t="s">
        <v>1</v>
      </c>
      <c r="E35" s="8"/>
      <c r="F35" s="10">
        <v>3210</v>
      </c>
      <c r="G35" s="10">
        <f t="shared" si="1"/>
        <v>473980</v>
      </c>
      <c r="H35" s="10"/>
      <c r="I35" s="8">
        <v>606</v>
      </c>
      <c r="J35" s="6" t="s">
        <v>199</v>
      </c>
      <c r="K35" s="9" t="s">
        <v>0</v>
      </c>
      <c r="L35" s="8">
        <v>573</v>
      </c>
      <c r="M35" s="10">
        <v>23390</v>
      </c>
      <c r="N35" s="10">
        <f t="shared" si="2"/>
        <v>407360</v>
      </c>
    </row>
    <row r="36" spans="1:14" s="11" customFormat="1" ht="21" customHeight="1" x14ac:dyDescent="0.25">
      <c r="A36" s="10"/>
      <c r="B36" s="10"/>
      <c r="C36" s="6" t="s">
        <v>469</v>
      </c>
      <c r="D36" s="9" t="s">
        <v>1</v>
      </c>
      <c r="E36" s="8"/>
      <c r="F36" s="10">
        <v>3130</v>
      </c>
      <c r="G36" s="10">
        <f t="shared" si="1"/>
        <v>477190</v>
      </c>
      <c r="H36" s="10"/>
      <c r="I36" s="8">
        <v>607</v>
      </c>
      <c r="J36" s="6" t="s">
        <v>535</v>
      </c>
      <c r="K36" s="9" t="s">
        <v>0</v>
      </c>
      <c r="L36" s="8">
        <v>582</v>
      </c>
      <c r="M36" s="10">
        <v>2290</v>
      </c>
      <c r="N36" s="10">
        <f t="shared" si="2"/>
        <v>430750</v>
      </c>
    </row>
    <row r="37" spans="1:14" s="11" customFormat="1" ht="21" customHeight="1" x14ac:dyDescent="0.25">
      <c r="A37" s="10"/>
      <c r="B37" s="10"/>
      <c r="C37" s="6" t="s">
        <v>111</v>
      </c>
      <c r="D37" s="9" t="s">
        <v>1</v>
      </c>
      <c r="E37" s="8"/>
      <c r="F37" s="10">
        <v>7360</v>
      </c>
      <c r="G37" s="10">
        <f t="shared" si="1"/>
        <v>480320</v>
      </c>
      <c r="H37" s="10"/>
      <c r="I37" s="8">
        <v>608</v>
      </c>
      <c r="J37" s="6" t="s">
        <v>387</v>
      </c>
      <c r="K37" s="9" t="s">
        <v>0</v>
      </c>
      <c r="L37" s="8">
        <v>575</v>
      </c>
      <c r="M37" s="10">
        <v>6370</v>
      </c>
      <c r="N37" s="10">
        <f t="shared" si="2"/>
        <v>433040</v>
      </c>
    </row>
    <row r="38" spans="1:14" s="11" customFormat="1" ht="21" customHeight="1" x14ac:dyDescent="0.25">
      <c r="A38" s="10"/>
      <c r="B38" s="10"/>
      <c r="C38" s="6" t="s">
        <v>39</v>
      </c>
      <c r="D38" s="9" t="s">
        <v>1</v>
      </c>
      <c r="E38" s="8"/>
      <c r="F38" s="10">
        <v>34110</v>
      </c>
      <c r="G38" s="10">
        <f t="shared" si="1"/>
        <v>487680</v>
      </c>
      <c r="H38" s="10"/>
      <c r="I38" s="8">
        <v>609</v>
      </c>
      <c r="J38" s="6" t="s">
        <v>469</v>
      </c>
      <c r="K38" s="9" t="s">
        <v>0</v>
      </c>
      <c r="L38" s="8">
        <v>563</v>
      </c>
      <c r="M38" s="10">
        <v>16030</v>
      </c>
      <c r="N38" s="10">
        <f t="shared" si="2"/>
        <v>439410</v>
      </c>
    </row>
    <row r="39" spans="1:14" s="11" customFormat="1" ht="21" customHeight="1" x14ac:dyDescent="0.25">
      <c r="A39" s="10"/>
      <c r="B39" s="10"/>
      <c r="C39" s="10"/>
      <c r="D39" s="21" t="s">
        <v>1</v>
      </c>
      <c r="E39" s="8"/>
      <c r="F39" s="10"/>
      <c r="G39" s="10">
        <f t="shared" si="1"/>
        <v>521790</v>
      </c>
      <c r="H39" s="10"/>
      <c r="I39" s="8">
        <v>610</v>
      </c>
      <c r="J39" s="6" t="s">
        <v>294</v>
      </c>
      <c r="K39" s="9" t="s">
        <v>0</v>
      </c>
      <c r="L39" s="8">
        <v>567</v>
      </c>
      <c r="M39" s="10">
        <v>1300</v>
      </c>
      <c r="N39" s="10">
        <f t="shared" si="2"/>
        <v>455440</v>
      </c>
    </row>
    <row r="40" spans="1:14" s="11" customFormat="1" ht="21" customHeight="1" x14ac:dyDescent="0.25">
      <c r="A40" s="10"/>
      <c r="B40" s="10"/>
      <c r="C40" s="10"/>
      <c r="D40" s="21" t="s">
        <v>1</v>
      </c>
      <c r="E40" s="8"/>
      <c r="F40" s="10"/>
      <c r="G40" s="22">
        <f t="shared" si="1"/>
        <v>521790</v>
      </c>
      <c r="H40" s="10"/>
      <c r="I40" s="8">
        <v>611</v>
      </c>
      <c r="J40" s="6" t="s">
        <v>39</v>
      </c>
      <c r="K40" s="9" t="s">
        <v>0</v>
      </c>
      <c r="L40" s="8">
        <v>552</v>
      </c>
      <c r="M40" s="10">
        <v>34110</v>
      </c>
      <c r="N40" s="10">
        <f t="shared" si="2"/>
        <v>456740</v>
      </c>
    </row>
    <row r="41" spans="1:14" s="11" customFormat="1" ht="21" customHeight="1" x14ac:dyDescent="0.25">
      <c r="A41" s="10"/>
      <c r="B41" s="10"/>
      <c r="C41" s="42" t="s">
        <v>529</v>
      </c>
      <c r="D41" s="21" t="s">
        <v>1</v>
      </c>
      <c r="E41" s="8"/>
      <c r="F41" s="10"/>
      <c r="G41" s="22">
        <f t="shared" si="1"/>
        <v>521790</v>
      </c>
      <c r="H41" s="10"/>
      <c r="I41" s="8">
        <v>612</v>
      </c>
      <c r="J41" s="6" t="s">
        <v>331</v>
      </c>
      <c r="K41" s="9" t="s">
        <v>0</v>
      </c>
      <c r="L41" s="8">
        <v>577</v>
      </c>
      <c r="M41" s="10">
        <v>3850</v>
      </c>
      <c r="N41" s="10">
        <f t="shared" si="2"/>
        <v>490850</v>
      </c>
    </row>
    <row r="42" spans="1:14" s="11" customFormat="1" ht="21" customHeight="1" x14ac:dyDescent="0.25">
      <c r="A42" s="10"/>
      <c r="B42" s="10"/>
      <c r="C42" s="42" t="s">
        <v>530</v>
      </c>
      <c r="D42" s="21" t="s">
        <v>1</v>
      </c>
      <c r="E42" s="8"/>
      <c r="F42" s="10"/>
      <c r="G42" s="22">
        <f t="shared" si="1"/>
        <v>521790</v>
      </c>
      <c r="H42" s="10"/>
      <c r="I42" s="10"/>
      <c r="J42" s="10"/>
      <c r="K42" s="21" t="s">
        <v>0</v>
      </c>
      <c r="L42" s="8"/>
      <c r="M42" s="10"/>
      <c r="N42" s="10">
        <f t="shared" si="2"/>
        <v>494700</v>
      </c>
    </row>
    <row r="43" spans="1:14" s="11" customFormat="1" ht="21" customHeight="1" x14ac:dyDescent="0.25">
      <c r="A43" s="10"/>
      <c r="B43" s="10"/>
      <c r="C43" s="10"/>
      <c r="D43" s="21" t="s">
        <v>1</v>
      </c>
      <c r="E43" s="8"/>
      <c r="F43" s="10"/>
      <c r="G43" s="22">
        <f t="shared" si="1"/>
        <v>521790</v>
      </c>
      <c r="H43" s="10"/>
      <c r="I43" s="10"/>
      <c r="J43" s="31" t="s">
        <v>526</v>
      </c>
      <c r="K43" s="21" t="s">
        <v>0</v>
      </c>
      <c r="L43" s="8"/>
      <c r="M43" s="10"/>
      <c r="N43" s="22">
        <f t="shared" si="2"/>
        <v>494700</v>
      </c>
    </row>
    <row r="44" spans="1:14" s="11" customFormat="1" ht="21" customHeight="1" x14ac:dyDescent="0.25">
      <c r="A44" s="10"/>
      <c r="B44" s="10"/>
      <c r="C44" s="10"/>
      <c r="D44" s="21" t="s">
        <v>1</v>
      </c>
      <c r="E44" s="8"/>
      <c r="F44" s="10"/>
      <c r="G44" s="22">
        <f t="shared" si="1"/>
        <v>521790</v>
      </c>
      <c r="H44" s="10"/>
      <c r="I44" s="10"/>
      <c r="J44" s="36" t="s">
        <v>527</v>
      </c>
      <c r="K44" s="21" t="s">
        <v>0</v>
      </c>
      <c r="L44" s="8"/>
      <c r="M44" s="10"/>
      <c r="N44" s="22">
        <f t="shared" si="2"/>
        <v>494700</v>
      </c>
    </row>
    <row r="45" spans="1:14" s="11" customFormat="1" ht="21" customHeight="1" x14ac:dyDescent="0.25">
      <c r="A45" s="10"/>
      <c r="B45" s="10"/>
      <c r="C45" s="10"/>
      <c r="D45" s="21" t="s">
        <v>1</v>
      </c>
      <c r="E45" s="10"/>
      <c r="F45" s="10"/>
      <c r="G45" s="22">
        <f>G44+F44</f>
        <v>521790</v>
      </c>
      <c r="H45" s="10"/>
      <c r="I45" s="10"/>
      <c r="J45" s="31" t="s">
        <v>528</v>
      </c>
      <c r="K45" s="21" t="s">
        <v>0</v>
      </c>
      <c r="L45" s="10"/>
      <c r="M45" s="10"/>
      <c r="N45" s="22">
        <f t="shared" si="2"/>
        <v>494700</v>
      </c>
    </row>
    <row r="46" spans="1:14" ht="31.5" customHeight="1" x14ac:dyDescent="0.25">
      <c r="A46" s="46" t="s">
        <v>9</v>
      </c>
      <c r="B46" s="46"/>
      <c r="C46" s="47"/>
      <c r="D46" s="54">
        <f>G45+F45</f>
        <v>521790</v>
      </c>
      <c r="E46" s="54"/>
      <c r="F46" s="54"/>
      <c r="G46" s="54"/>
      <c r="H46" s="48" t="s">
        <v>10</v>
      </c>
      <c r="I46" s="48"/>
      <c r="J46" s="49"/>
      <c r="K46" s="54">
        <f>N45+M45</f>
        <v>494700</v>
      </c>
      <c r="L46" s="54"/>
      <c r="M46" s="54"/>
      <c r="N46" s="54"/>
    </row>
    <row r="47" spans="1:14" ht="30.75" customHeight="1" x14ac:dyDescent="0.25">
      <c r="A47" s="48" t="s">
        <v>10</v>
      </c>
      <c r="B47" s="48"/>
      <c r="C47" s="49"/>
      <c r="D47" s="55">
        <f>K46</f>
        <v>494700</v>
      </c>
      <c r="E47" s="55"/>
      <c r="F47" s="55"/>
      <c r="G47" s="55"/>
      <c r="H47" s="59"/>
      <c r="I47" s="59"/>
      <c r="J47" s="13"/>
      <c r="K47" s="61"/>
      <c r="L47" s="61"/>
      <c r="M47" s="61"/>
      <c r="N47" s="14"/>
    </row>
    <row r="48" spans="1:14" ht="36.75" customHeight="1" x14ac:dyDescent="0.25">
      <c r="A48" s="50" t="s">
        <v>11</v>
      </c>
      <c r="B48" s="50"/>
      <c r="C48" s="51"/>
      <c r="D48" s="63">
        <f>D46-D47</f>
        <v>27090</v>
      </c>
      <c r="E48" s="63"/>
      <c r="F48" s="63"/>
      <c r="G48" s="63"/>
      <c r="H48" s="59"/>
      <c r="I48" s="59"/>
      <c r="J48" s="13"/>
      <c r="K48" s="60"/>
      <c r="L48" s="60"/>
      <c r="M48" s="60"/>
      <c r="N48" s="15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3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3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  <row r="57" spans="3:14" ht="21" customHeight="1" x14ac:dyDescent="0.25">
      <c r="C57" s="7"/>
      <c r="D57" s="4"/>
      <c r="E57" s="4"/>
      <c r="F57" s="4"/>
      <c r="G57" s="4"/>
      <c r="J57" s="7"/>
      <c r="K57" s="4"/>
      <c r="L57" s="4"/>
      <c r="M57" s="4"/>
      <c r="N57" s="4"/>
    </row>
  </sheetData>
  <mergeCells count="21">
    <mergeCell ref="A48:C48"/>
    <mergeCell ref="D48:G48"/>
    <mergeCell ref="H48:I48"/>
    <mergeCell ref="K48:M48"/>
    <mergeCell ref="A4:E4"/>
    <mergeCell ref="A46:C46"/>
    <mergeCell ref="D46:G46"/>
    <mergeCell ref="H46:J46"/>
    <mergeCell ref="K46:N46"/>
    <mergeCell ref="A47:C47"/>
    <mergeCell ref="D47:G47"/>
    <mergeCell ref="H47:I47"/>
    <mergeCell ref="K47:M47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N56"/>
  <sheetViews>
    <sheetView view="pageBreakPreview" topLeftCell="A25" zoomScale="115" zoomScaleNormal="145" zoomScaleSheetLayoutView="115" zoomScalePageLayoutView="85" workbookViewId="0">
      <selection activeCell="C42" sqref="C42:C44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224</v>
      </c>
      <c r="D3" s="58" t="s">
        <v>4</v>
      </c>
      <c r="E3" s="58"/>
      <c r="F3" s="17" t="s">
        <v>3</v>
      </c>
      <c r="G3" s="3">
        <v>45594</v>
      </c>
      <c r="H3" s="57" t="s">
        <v>8</v>
      </c>
      <c r="I3" s="57"/>
      <c r="J3" s="18" t="s">
        <v>224</v>
      </c>
      <c r="K3" s="62" t="s">
        <v>5</v>
      </c>
      <c r="L3" s="62"/>
      <c r="M3" s="17" t="s">
        <v>3</v>
      </c>
      <c r="N3" s="3">
        <v>45594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(28)'!D48</f>
        <v>27090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940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27310</v>
      </c>
      <c r="G5" s="10">
        <f>F4</f>
        <v>27090</v>
      </c>
      <c r="H5" s="8"/>
      <c r="I5" s="8"/>
      <c r="J5" s="31" t="s">
        <v>54</v>
      </c>
      <c r="K5" s="9" t="s">
        <v>0</v>
      </c>
      <c r="L5" s="8"/>
      <c r="M5" s="10">
        <v>2200</v>
      </c>
      <c r="N5" s="10">
        <f>M4</f>
        <v>940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90</v>
      </c>
      <c r="G6" s="10">
        <f>G5+F5</f>
        <v>54400</v>
      </c>
      <c r="H6" s="8"/>
      <c r="I6" s="8"/>
      <c r="J6" s="31" t="s">
        <v>100</v>
      </c>
      <c r="K6" s="9" t="s">
        <v>0</v>
      </c>
      <c r="L6" s="8"/>
      <c r="M6" s="10">
        <v>700</v>
      </c>
      <c r="N6" s="10">
        <f t="shared" ref="N6" si="0">N5+M5</f>
        <v>3140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100</v>
      </c>
      <c r="G7" s="10">
        <f t="shared" ref="G7:G43" si="1">G6+F6</f>
        <v>54490</v>
      </c>
      <c r="H7" s="8"/>
      <c r="I7" s="8"/>
      <c r="J7" s="6" t="s">
        <v>536</v>
      </c>
      <c r="K7" s="9" t="s">
        <v>0</v>
      </c>
      <c r="L7" s="8"/>
      <c r="M7" s="10">
        <v>2600</v>
      </c>
      <c r="N7" s="10">
        <f>N6+M6</f>
        <v>3840</v>
      </c>
    </row>
    <row r="8" spans="1:14" s="11" customFormat="1" ht="21" customHeight="1" x14ac:dyDescent="0.25">
      <c r="A8" s="8"/>
      <c r="B8" s="8"/>
      <c r="C8" s="6" t="s">
        <v>537</v>
      </c>
      <c r="D8" s="9" t="s">
        <v>1</v>
      </c>
      <c r="E8" s="8"/>
      <c r="F8" s="10">
        <v>300</v>
      </c>
      <c r="G8" s="10">
        <f t="shared" si="1"/>
        <v>54590</v>
      </c>
      <c r="H8" s="8"/>
      <c r="I8" s="8"/>
      <c r="J8" s="6" t="s">
        <v>545</v>
      </c>
      <c r="K8" s="9" t="s">
        <v>0</v>
      </c>
      <c r="L8" s="8"/>
      <c r="M8" s="10">
        <v>2000</v>
      </c>
      <c r="N8" s="10">
        <f t="shared" ref="N8:N44" si="2">N7+M7</f>
        <v>6440</v>
      </c>
    </row>
    <row r="9" spans="1:14" s="11" customFormat="1" ht="21" customHeight="1" x14ac:dyDescent="0.25">
      <c r="A9" s="8"/>
      <c r="B9" s="8"/>
      <c r="C9" s="6" t="s">
        <v>538</v>
      </c>
      <c r="D9" s="9" t="s">
        <v>1</v>
      </c>
      <c r="E9" s="8"/>
      <c r="F9" s="10">
        <v>1000</v>
      </c>
      <c r="G9" s="10">
        <f t="shared" si="1"/>
        <v>54890</v>
      </c>
      <c r="H9" s="8"/>
      <c r="I9" s="8"/>
      <c r="J9" s="6" t="s">
        <v>546</v>
      </c>
      <c r="K9" s="9" t="s">
        <v>0</v>
      </c>
      <c r="L9" s="8"/>
      <c r="M9" s="10">
        <v>40000</v>
      </c>
      <c r="N9" s="10">
        <f t="shared" si="2"/>
        <v>8440</v>
      </c>
    </row>
    <row r="10" spans="1:14" s="11" customFormat="1" ht="21" customHeight="1" x14ac:dyDescent="0.25">
      <c r="A10" s="8"/>
      <c r="B10" s="8"/>
      <c r="C10" s="6" t="s">
        <v>539</v>
      </c>
      <c r="D10" s="9" t="s">
        <v>1</v>
      </c>
      <c r="E10" s="8"/>
      <c r="F10" s="10">
        <v>600</v>
      </c>
      <c r="G10" s="10">
        <f t="shared" si="1"/>
        <v>55890</v>
      </c>
      <c r="H10" s="8"/>
      <c r="I10" s="8">
        <v>613</v>
      </c>
      <c r="J10" s="6" t="s">
        <v>488</v>
      </c>
      <c r="K10" s="9" t="s">
        <v>0</v>
      </c>
      <c r="L10" s="8">
        <v>587</v>
      </c>
      <c r="M10" s="10">
        <v>11880</v>
      </c>
      <c r="N10" s="10">
        <f t="shared" si="2"/>
        <v>48440</v>
      </c>
    </row>
    <row r="11" spans="1:14" s="11" customFormat="1" ht="21" customHeight="1" x14ac:dyDescent="0.25">
      <c r="A11" s="8"/>
      <c r="B11" s="8"/>
      <c r="C11" s="6" t="s">
        <v>540</v>
      </c>
      <c r="D11" s="9" t="s">
        <v>1</v>
      </c>
      <c r="E11" s="8"/>
      <c r="F11" s="10">
        <v>520000</v>
      </c>
      <c r="G11" s="10">
        <f t="shared" si="1"/>
        <v>56490</v>
      </c>
      <c r="H11" s="8"/>
      <c r="I11" s="8">
        <v>614</v>
      </c>
      <c r="J11" s="6" t="s">
        <v>173</v>
      </c>
      <c r="K11" s="9" t="s">
        <v>0</v>
      </c>
      <c r="L11" s="8">
        <v>585</v>
      </c>
      <c r="M11" s="10">
        <v>11210</v>
      </c>
      <c r="N11" s="10">
        <f t="shared" si="2"/>
        <v>60320</v>
      </c>
    </row>
    <row r="12" spans="1:14" s="11" customFormat="1" ht="21" customHeight="1" x14ac:dyDescent="0.25">
      <c r="A12" s="8"/>
      <c r="B12" s="8"/>
      <c r="C12" s="6" t="s">
        <v>39</v>
      </c>
      <c r="D12" s="9" t="s">
        <v>1</v>
      </c>
      <c r="E12" s="8"/>
      <c r="F12" s="10">
        <v>38770</v>
      </c>
      <c r="G12" s="10">
        <f t="shared" si="1"/>
        <v>576490</v>
      </c>
      <c r="H12" s="8"/>
      <c r="I12" s="8">
        <v>615</v>
      </c>
      <c r="J12" s="6" t="s">
        <v>81</v>
      </c>
      <c r="K12" s="9" t="s">
        <v>0</v>
      </c>
      <c r="L12" s="8">
        <v>588</v>
      </c>
      <c r="M12" s="10">
        <v>72210</v>
      </c>
      <c r="N12" s="10">
        <f t="shared" si="2"/>
        <v>71530</v>
      </c>
    </row>
    <row r="13" spans="1:14" s="11" customFormat="1" ht="21" customHeight="1" x14ac:dyDescent="0.25">
      <c r="A13" s="8"/>
      <c r="B13" s="8"/>
      <c r="C13" s="6" t="s">
        <v>178</v>
      </c>
      <c r="D13" s="9" t="s">
        <v>1</v>
      </c>
      <c r="E13" s="8"/>
      <c r="F13" s="10">
        <v>5000</v>
      </c>
      <c r="G13" s="10">
        <f t="shared" si="1"/>
        <v>615260</v>
      </c>
      <c r="H13" s="8"/>
      <c r="I13" s="8">
        <v>616</v>
      </c>
      <c r="J13" s="6" t="s">
        <v>49</v>
      </c>
      <c r="K13" s="9" t="s">
        <v>0</v>
      </c>
      <c r="L13" s="8">
        <v>584</v>
      </c>
      <c r="M13" s="10">
        <v>57730</v>
      </c>
      <c r="N13" s="10">
        <f t="shared" si="2"/>
        <v>143740</v>
      </c>
    </row>
    <row r="14" spans="1:14" s="11" customFormat="1" ht="21" customHeight="1" x14ac:dyDescent="0.25">
      <c r="A14" s="8"/>
      <c r="B14" s="8"/>
      <c r="C14" s="6" t="s">
        <v>46</v>
      </c>
      <c r="D14" s="9" t="s">
        <v>1</v>
      </c>
      <c r="E14" s="8"/>
      <c r="F14" s="10">
        <v>30000</v>
      </c>
      <c r="G14" s="10">
        <f t="shared" si="1"/>
        <v>620260</v>
      </c>
      <c r="H14" s="8"/>
      <c r="I14" s="8">
        <v>617</v>
      </c>
      <c r="J14" s="6" t="s">
        <v>320</v>
      </c>
      <c r="K14" s="9" t="s">
        <v>0</v>
      </c>
      <c r="L14" s="8">
        <v>586</v>
      </c>
      <c r="M14" s="10">
        <v>31220</v>
      </c>
      <c r="N14" s="10">
        <f t="shared" si="2"/>
        <v>201470</v>
      </c>
    </row>
    <row r="15" spans="1:14" s="11" customFormat="1" ht="21" customHeight="1" x14ac:dyDescent="0.25">
      <c r="A15" s="10"/>
      <c r="B15" s="10"/>
      <c r="C15" s="6" t="s">
        <v>49</v>
      </c>
      <c r="D15" s="9" t="s">
        <v>1</v>
      </c>
      <c r="E15" s="8"/>
      <c r="F15" s="10">
        <v>30000</v>
      </c>
      <c r="G15" s="10">
        <f t="shared" si="1"/>
        <v>650260</v>
      </c>
      <c r="H15" s="10"/>
      <c r="I15" s="8">
        <v>618</v>
      </c>
      <c r="J15" s="6" t="s">
        <v>245</v>
      </c>
      <c r="K15" s="9" t="s">
        <v>0</v>
      </c>
      <c r="L15" s="8">
        <v>589</v>
      </c>
      <c r="M15" s="10">
        <v>90860</v>
      </c>
      <c r="N15" s="10">
        <f t="shared" si="2"/>
        <v>232690</v>
      </c>
    </row>
    <row r="16" spans="1:14" s="11" customFormat="1" ht="21" customHeight="1" x14ac:dyDescent="0.25">
      <c r="A16" s="10"/>
      <c r="B16" s="10"/>
      <c r="C16" s="6" t="s">
        <v>541</v>
      </c>
      <c r="D16" s="9" t="s">
        <v>1</v>
      </c>
      <c r="E16" s="8"/>
      <c r="F16" s="10">
        <v>30810</v>
      </c>
      <c r="G16" s="10">
        <f t="shared" si="1"/>
        <v>680260</v>
      </c>
      <c r="H16" s="10"/>
      <c r="I16" s="8">
        <v>619</v>
      </c>
      <c r="J16" s="6" t="s">
        <v>44</v>
      </c>
      <c r="K16" s="9" t="s">
        <v>0</v>
      </c>
      <c r="L16" s="8">
        <v>592</v>
      </c>
      <c r="M16" s="10">
        <v>11600</v>
      </c>
      <c r="N16" s="10">
        <f t="shared" si="2"/>
        <v>323550</v>
      </c>
    </row>
    <row r="17" spans="1:14" s="11" customFormat="1" ht="21" customHeight="1" x14ac:dyDescent="0.25">
      <c r="A17" s="10"/>
      <c r="B17" s="10"/>
      <c r="C17" s="6" t="s">
        <v>292</v>
      </c>
      <c r="D17" s="9" t="s">
        <v>1</v>
      </c>
      <c r="E17" s="8"/>
      <c r="F17" s="10">
        <v>3200</v>
      </c>
      <c r="G17" s="10">
        <f t="shared" si="1"/>
        <v>711070</v>
      </c>
      <c r="H17" s="10"/>
      <c r="I17" s="8">
        <v>620</v>
      </c>
      <c r="J17" s="6" t="s">
        <v>328</v>
      </c>
      <c r="K17" s="9" t="s">
        <v>0</v>
      </c>
      <c r="L17" s="8">
        <v>593</v>
      </c>
      <c r="M17" s="10">
        <v>23730</v>
      </c>
      <c r="N17" s="10">
        <f t="shared" si="2"/>
        <v>335150</v>
      </c>
    </row>
    <row r="18" spans="1:14" s="11" customFormat="1" ht="21" customHeight="1" x14ac:dyDescent="0.25">
      <c r="A18" s="10"/>
      <c r="B18" s="10"/>
      <c r="C18" s="6" t="s">
        <v>273</v>
      </c>
      <c r="D18" s="9" t="s">
        <v>1</v>
      </c>
      <c r="E18" s="8"/>
      <c r="F18" s="10">
        <v>8000</v>
      </c>
      <c r="G18" s="10">
        <f t="shared" si="1"/>
        <v>714270</v>
      </c>
      <c r="H18" s="10"/>
      <c r="I18" s="8">
        <v>621</v>
      </c>
      <c r="J18" s="6" t="s">
        <v>281</v>
      </c>
      <c r="K18" s="9" t="s">
        <v>0</v>
      </c>
      <c r="L18" s="8">
        <v>414</v>
      </c>
      <c r="M18" s="10">
        <v>15520</v>
      </c>
      <c r="N18" s="10">
        <f t="shared" si="2"/>
        <v>358880</v>
      </c>
    </row>
    <row r="19" spans="1:14" s="11" customFormat="1" ht="21" customHeight="1" x14ac:dyDescent="0.25">
      <c r="A19" s="10"/>
      <c r="B19" s="10"/>
      <c r="C19" s="6" t="s">
        <v>269</v>
      </c>
      <c r="D19" s="9" t="s">
        <v>1</v>
      </c>
      <c r="E19" s="8"/>
      <c r="F19" s="10">
        <v>5300</v>
      </c>
      <c r="G19" s="10">
        <f t="shared" si="1"/>
        <v>722270</v>
      </c>
      <c r="H19" s="10"/>
      <c r="I19" s="8">
        <v>622</v>
      </c>
      <c r="J19" s="6" t="s">
        <v>402</v>
      </c>
      <c r="K19" s="9" t="s">
        <v>0</v>
      </c>
      <c r="L19" s="8">
        <v>411</v>
      </c>
      <c r="M19" s="10">
        <v>3530</v>
      </c>
      <c r="N19" s="10">
        <f t="shared" si="2"/>
        <v>374400</v>
      </c>
    </row>
    <row r="20" spans="1:14" s="11" customFormat="1" ht="21" customHeight="1" x14ac:dyDescent="0.25">
      <c r="A20" s="10"/>
      <c r="B20" s="10"/>
      <c r="C20" s="6" t="s">
        <v>542</v>
      </c>
      <c r="D20" s="9" t="s">
        <v>1</v>
      </c>
      <c r="E20" s="8"/>
      <c r="F20" s="10">
        <v>2750</v>
      </c>
      <c r="G20" s="10">
        <f t="shared" si="1"/>
        <v>727570</v>
      </c>
      <c r="H20" s="10"/>
      <c r="I20" s="8">
        <v>623</v>
      </c>
      <c r="J20" s="6" t="s">
        <v>112</v>
      </c>
      <c r="K20" s="9" t="s">
        <v>0</v>
      </c>
      <c r="L20" s="8">
        <v>407</v>
      </c>
      <c r="M20" s="10">
        <v>3290</v>
      </c>
      <c r="N20" s="10">
        <f t="shared" si="2"/>
        <v>377930</v>
      </c>
    </row>
    <row r="21" spans="1:14" s="11" customFormat="1" ht="21" customHeight="1" x14ac:dyDescent="0.25">
      <c r="A21" s="10"/>
      <c r="B21" s="10"/>
      <c r="C21" s="6" t="s">
        <v>44</v>
      </c>
      <c r="D21" s="9" t="s">
        <v>1</v>
      </c>
      <c r="E21" s="8"/>
      <c r="F21" s="10">
        <v>5310</v>
      </c>
      <c r="G21" s="10">
        <f t="shared" si="1"/>
        <v>730320</v>
      </c>
      <c r="H21" s="10"/>
      <c r="I21" s="8">
        <v>624</v>
      </c>
      <c r="J21" s="6" t="s">
        <v>19</v>
      </c>
      <c r="K21" s="9" t="s">
        <v>0</v>
      </c>
      <c r="L21" s="8">
        <v>599</v>
      </c>
      <c r="M21" s="10">
        <v>7270</v>
      </c>
      <c r="N21" s="10">
        <f t="shared" si="2"/>
        <v>381220</v>
      </c>
    </row>
    <row r="22" spans="1:14" s="11" customFormat="1" ht="21" customHeight="1" x14ac:dyDescent="0.25">
      <c r="A22" s="10"/>
      <c r="B22" s="10"/>
      <c r="C22" s="6" t="s">
        <v>111</v>
      </c>
      <c r="D22" s="9" t="s">
        <v>1</v>
      </c>
      <c r="E22" s="8"/>
      <c r="F22" s="10">
        <v>13140</v>
      </c>
      <c r="G22" s="10">
        <f t="shared" si="1"/>
        <v>735630</v>
      </c>
      <c r="H22" s="10"/>
      <c r="I22" s="8">
        <v>625</v>
      </c>
      <c r="J22" s="6" t="s">
        <v>348</v>
      </c>
      <c r="K22" s="9" t="s">
        <v>0</v>
      </c>
      <c r="L22" s="8">
        <v>597</v>
      </c>
      <c r="M22" s="10">
        <v>22490</v>
      </c>
      <c r="N22" s="10">
        <f t="shared" si="2"/>
        <v>388490</v>
      </c>
    </row>
    <row r="23" spans="1:14" s="11" customFormat="1" ht="21" customHeight="1" x14ac:dyDescent="0.25">
      <c r="A23" s="10"/>
      <c r="B23" s="10"/>
      <c r="C23" s="6" t="s">
        <v>107</v>
      </c>
      <c r="D23" s="9" t="s">
        <v>1</v>
      </c>
      <c r="E23" s="8"/>
      <c r="F23" s="10">
        <v>11990</v>
      </c>
      <c r="G23" s="10">
        <f t="shared" si="1"/>
        <v>748770</v>
      </c>
      <c r="H23" s="10"/>
      <c r="I23" s="8">
        <v>626</v>
      </c>
      <c r="J23" s="6" t="s">
        <v>85</v>
      </c>
      <c r="K23" s="9" t="s">
        <v>0</v>
      </c>
      <c r="L23" s="8">
        <v>583</v>
      </c>
      <c r="M23" s="10">
        <v>163160</v>
      </c>
      <c r="N23" s="10">
        <f t="shared" si="2"/>
        <v>410980</v>
      </c>
    </row>
    <row r="24" spans="1:14" s="11" customFormat="1" ht="21" customHeight="1" x14ac:dyDescent="0.25">
      <c r="A24" s="10"/>
      <c r="B24" s="10"/>
      <c r="C24" s="6" t="s">
        <v>271</v>
      </c>
      <c r="D24" s="9" t="s">
        <v>1</v>
      </c>
      <c r="E24" s="8"/>
      <c r="F24" s="10">
        <v>2810</v>
      </c>
      <c r="G24" s="10">
        <f t="shared" si="1"/>
        <v>760760</v>
      </c>
      <c r="H24" s="10"/>
      <c r="I24" s="8">
        <v>627</v>
      </c>
      <c r="J24" s="6" t="s">
        <v>87</v>
      </c>
      <c r="K24" s="9" t="s">
        <v>0</v>
      </c>
      <c r="L24" s="8">
        <v>401</v>
      </c>
      <c r="M24" s="10">
        <v>5320</v>
      </c>
      <c r="N24" s="10">
        <f t="shared" si="2"/>
        <v>574140</v>
      </c>
    </row>
    <row r="25" spans="1:14" s="11" customFormat="1" ht="21" customHeight="1" x14ac:dyDescent="0.25">
      <c r="A25" s="10"/>
      <c r="B25" s="10"/>
      <c r="C25" s="6" t="s">
        <v>348</v>
      </c>
      <c r="D25" s="9" t="s">
        <v>1</v>
      </c>
      <c r="E25" s="8"/>
      <c r="F25" s="10">
        <v>4000</v>
      </c>
      <c r="G25" s="10">
        <f t="shared" si="1"/>
        <v>763570</v>
      </c>
      <c r="H25" s="10"/>
      <c r="I25" s="8">
        <v>628</v>
      </c>
      <c r="J25" s="6" t="s">
        <v>329</v>
      </c>
      <c r="K25" s="9" t="s">
        <v>0</v>
      </c>
      <c r="L25" s="8">
        <v>598</v>
      </c>
      <c r="M25" s="10">
        <v>12020</v>
      </c>
      <c r="N25" s="10">
        <f t="shared" si="2"/>
        <v>579460</v>
      </c>
    </row>
    <row r="26" spans="1:14" s="11" customFormat="1" ht="21" customHeight="1" x14ac:dyDescent="0.25">
      <c r="A26" s="10"/>
      <c r="B26" s="10"/>
      <c r="C26" s="6" t="s">
        <v>469</v>
      </c>
      <c r="D26" s="9" t="s">
        <v>1</v>
      </c>
      <c r="E26" s="8"/>
      <c r="F26" s="10">
        <v>16030</v>
      </c>
      <c r="G26" s="10">
        <f t="shared" si="1"/>
        <v>767570</v>
      </c>
      <c r="H26" s="10"/>
      <c r="I26" s="8">
        <v>629</v>
      </c>
      <c r="J26" s="6" t="s">
        <v>547</v>
      </c>
      <c r="K26" s="9" t="s">
        <v>0</v>
      </c>
      <c r="L26" s="8">
        <v>596</v>
      </c>
      <c r="M26" s="10">
        <v>12150</v>
      </c>
      <c r="N26" s="10">
        <f t="shared" si="2"/>
        <v>591480</v>
      </c>
    </row>
    <row r="27" spans="1:14" s="11" customFormat="1" ht="21" customHeight="1" x14ac:dyDescent="0.25">
      <c r="A27" s="10"/>
      <c r="B27" s="10"/>
      <c r="C27" s="6" t="s">
        <v>543</v>
      </c>
      <c r="D27" s="9" t="s">
        <v>1</v>
      </c>
      <c r="E27" s="8"/>
      <c r="F27" s="10">
        <v>10630</v>
      </c>
      <c r="G27" s="10">
        <f t="shared" si="1"/>
        <v>783600</v>
      </c>
      <c r="H27" s="10"/>
      <c r="I27" s="8">
        <v>630</v>
      </c>
      <c r="J27" s="6" t="s">
        <v>272</v>
      </c>
      <c r="K27" s="9" t="s">
        <v>0</v>
      </c>
      <c r="L27" s="8">
        <v>410</v>
      </c>
      <c r="M27" s="10">
        <v>3680</v>
      </c>
      <c r="N27" s="10">
        <f t="shared" si="2"/>
        <v>603630</v>
      </c>
    </row>
    <row r="28" spans="1:14" s="11" customFormat="1" ht="21" customHeight="1" x14ac:dyDescent="0.25">
      <c r="A28" s="10"/>
      <c r="B28" s="10"/>
      <c r="C28" s="6" t="s">
        <v>18</v>
      </c>
      <c r="D28" s="9" t="s">
        <v>1</v>
      </c>
      <c r="E28" s="8"/>
      <c r="F28" s="10">
        <v>28350</v>
      </c>
      <c r="G28" s="10">
        <f t="shared" si="1"/>
        <v>794230</v>
      </c>
      <c r="H28" s="10"/>
      <c r="I28" s="8">
        <v>631</v>
      </c>
      <c r="J28" s="6" t="s">
        <v>110</v>
      </c>
      <c r="K28" s="9" t="s">
        <v>0</v>
      </c>
      <c r="L28" s="8">
        <v>591</v>
      </c>
      <c r="M28" s="10">
        <v>7830</v>
      </c>
      <c r="N28" s="10">
        <f t="shared" si="2"/>
        <v>607310</v>
      </c>
    </row>
    <row r="29" spans="1:14" s="11" customFormat="1" ht="21" customHeight="1" x14ac:dyDescent="0.25">
      <c r="A29" s="10"/>
      <c r="B29" s="10"/>
      <c r="C29" s="6" t="s">
        <v>19</v>
      </c>
      <c r="D29" s="9" t="s">
        <v>1</v>
      </c>
      <c r="E29" s="8"/>
      <c r="F29" s="10">
        <v>14730</v>
      </c>
      <c r="G29" s="10">
        <f t="shared" si="1"/>
        <v>822580</v>
      </c>
      <c r="H29" s="10"/>
      <c r="I29" s="8">
        <v>632</v>
      </c>
      <c r="J29" s="6" t="s">
        <v>111</v>
      </c>
      <c r="K29" s="9" t="s">
        <v>0</v>
      </c>
      <c r="L29" s="8">
        <v>600</v>
      </c>
      <c r="M29" s="10">
        <v>6540</v>
      </c>
      <c r="N29" s="10">
        <f t="shared" si="2"/>
        <v>615140</v>
      </c>
    </row>
    <row r="30" spans="1:14" s="11" customFormat="1" ht="21" customHeight="1" x14ac:dyDescent="0.25">
      <c r="A30" s="10"/>
      <c r="B30" s="10"/>
      <c r="C30" s="6" t="s">
        <v>544</v>
      </c>
      <c r="D30" s="9" t="s">
        <v>1</v>
      </c>
      <c r="E30" s="8"/>
      <c r="F30" s="10">
        <v>2290</v>
      </c>
      <c r="G30" s="10">
        <f t="shared" si="1"/>
        <v>837310</v>
      </c>
      <c r="H30" s="10"/>
      <c r="I30" s="8">
        <v>633</v>
      </c>
      <c r="J30" s="6" t="s">
        <v>325</v>
      </c>
      <c r="K30" s="9" t="s">
        <v>0</v>
      </c>
      <c r="L30" s="8">
        <v>402</v>
      </c>
      <c r="M30" s="10">
        <v>24000</v>
      </c>
      <c r="N30" s="10">
        <f t="shared" si="2"/>
        <v>621680</v>
      </c>
    </row>
    <row r="31" spans="1:14" s="11" customFormat="1" ht="21" customHeight="1" x14ac:dyDescent="0.25">
      <c r="A31" s="10"/>
      <c r="B31" s="10"/>
      <c r="C31" s="6" t="s">
        <v>112</v>
      </c>
      <c r="D31" s="9" t="s">
        <v>1</v>
      </c>
      <c r="E31" s="8"/>
      <c r="F31" s="10">
        <v>4580</v>
      </c>
      <c r="G31" s="10">
        <f t="shared" si="1"/>
        <v>839600</v>
      </c>
      <c r="H31" s="10"/>
      <c r="I31" s="8">
        <v>634</v>
      </c>
      <c r="J31" s="6" t="s">
        <v>548</v>
      </c>
      <c r="K31" s="9" t="s">
        <v>0</v>
      </c>
      <c r="L31" s="8">
        <v>403</v>
      </c>
      <c r="M31" s="10">
        <v>3120</v>
      </c>
      <c r="N31" s="10">
        <f t="shared" si="2"/>
        <v>645680</v>
      </c>
    </row>
    <row r="32" spans="1:14" s="11" customFormat="1" ht="21" customHeight="1" x14ac:dyDescent="0.25">
      <c r="A32" s="10"/>
      <c r="B32" s="10"/>
      <c r="C32" s="6" t="s">
        <v>106</v>
      </c>
      <c r="D32" s="9" t="s">
        <v>1</v>
      </c>
      <c r="E32" s="8"/>
      <c r="F32" s="10">
        <v>2650</v>
      </c>
      <c r="G32" s="10">
        <f t="shared" si="1"/>
        <v>844180</v>
      </c>
      <c r="H32" s="10"/>
      <c r="I32" s="8">
        <v>635</v>
      </c>
      <c r="J32" s="6" t="s">
        <v>333</v>
      </c>
      <c r="K32" s="9" t="s">
        <v>0</v>
      </c>
      <c r="L32" s="8">
        <v>413</v>
      </c>
      <c r="M32" s="10">
        <v>6480</v>
      </c>
      <c r="N32" s="10">
        <f t="shared" si="2"/>
        <v>648800</v>
      </c>
    </row>
    <row r="33" spans="1:14" s="11" customFormat="1" ht="21" customHeight="1" x14ac:dyDescent="0.25">
      <c r="A33" s="10"/>
      <c r="B33" s="10"/>
      <c r="C33" s="6" t="s">
        <v>331</v>
      </c>
      <c r="D33" s="9" t="s">
        <v>1</v>
      </c>
      <c r="E33" s="8"/>
      <c r="F33" s="10">
        <v>3850</v>
      </c>
      <c r="G33" s="10">
        <f t="shared" si="1"/>
        <v>846830</v>
      </c>
      <c r="H33" s="10"/>
      <c r="I33" s="8">
        <v>636</v>
      </c>
      <c r="J33" s="6" t="s">
        <v>292</v>
      </c>
      <c r="K33" s="9" t="s">
        <v>0</v>
      </c>
      <c r="L33" s="8">
        <v>408</v>
      </c>
      <c r="M33" s="10">
        <v>1420</v>
      </c>
      <c r="N33" s="10">
        <f t="shared" si="2"/>
        <v>655280</v>
      </c>
    </row>
    <row r="34" spans="1:14" s="11" customFormat="1" ht="21" customHeight="1" x14ac:dyDescent="0.25">
      <c r="A34" s="10"/>
      <c r="B34" s="10"/>
      <c r="C34" s="6" t="s">
        <v>291</v>
      </c>
      <c r="D34" s="9" t="s">
        <v>1</v>
      </c>
      <c r="E34" s="8"/>
      <c r="F34" s="10">
        <v>6370</v>
      </c>
      <c r="G34" s="10">
        <f t="shared" si="1"/>
        <v>850680</v>
      </c>
      <c r="H34" s="10"/>
      <c r="I34" s="8">
        <v>637</v>
      </c>
      <c r="J34" s="6" t="s">
        <v>290</v>
      </c>
      <c r="K34" s="9" t="s">
        <v>0</v>
      </c>
      <c r="L34" s="8">
        <v>590</v>
      </c>
      <c r="M34" s="10">
        <v>11370</v>
      </c>
      <c r="N34" s="10">
        <f t="shared" si="2"/>
        <v>656700</v>
      </c>
    </row>
    <row r="35" spans="1:14" s="11" customFormat="1" ht="21" customHeight="1" x14ac:dyDescent="0.25">
      <c r="A35" s="10"/>
      <c r="B35" s="10"/>
      <c r="C35" s="6" t="s">
        <v>417</v>
      </c>
      <c r="D35" s="9" t="s">
        <v>1</v>
      </c>
      <c r="E35" s="8"/>
      <c r="F35" s="10">
        <v>1800</v>
      </c>
      <c r="G35" s="10">
        <f t="shared" si="1"/>
        <v>857050</v>
      </c>
      <c r="H35" s="10"/>
      <c r="I35" s="8">
        <v>638</v>
      </c>
      <c r="J35" s="6" t="s">
        <v>477</v>
      </c>
      <c r="K35" s="9" t="s">
        <v>0</v>
      </c>
      <c r="L35" s="8">
        <v>412</v>
      </c>
      <c r="M35" s="10">
        <v>5540</v>
      </c>
      <c r="N35" s="10">
        <f t="shared" si="2"/>
        <v>668070</v>
      </c>
    </row>
    <row r="36" spans="1:14" s="11" customFormat="1" ht="21" customHeight="1" x14ac:dyDescent="0.25">
      <c r="A36" s="10"/>
      <c r="B36" s="10"/>
      <c r="C36" s="6" t="s">
        <v>199</v>
      </c>
      <c r="D36" s="9" t="s">
        <v>1</v>
      </c>
      <c r="E36" s="8"/>
      <c r="F36" s="10">
        <v>23390</v>
      </c>
      <c r="G36" s="10">
        <f t="shared" si="1"/>
        <v>858850</v>
      </c>
      <c r="H36" s="10"/>
      <c r="I36" s="8">
        <v>639</v>
      </c>
      <c r="J36" s="6" t="s">
        <v>334</v>
      </c>
      <c r="K36" s="9" t="s">
        <v>0</v>
      </c>
      <c r="L36" s="8">
        <v>409</v>
      </c>
      <c r="M36" s="10">
        <v>3150</v>
      </c>
      <c r="N36" s="10">
        <f t="shared" si="2"/>
        <v>673610</v>
      </c>
    </row>
    <row r="37" spans="1:14" s="11" customFormat="1" ht="21" customHeight="1" x14ac:dyDescent="0.25">
      <c r="A37" s="10"/>
      <c r="B37" s="10"/>
      <c r="C37" s="6" t="s">
        <v>402</v>
      </c>
      <c r="D37" s="9" t="s">
        <v>1</v>
      </c>
      <c r="E37" s="8"/>
      <c r="F37" s="10">
        <v>4390</v>
      </c>
      <c r="G37" s="10">
        <f t="shared" si="1"/>
        <v>882240</v>
      </c>
      <c r="H37" s="10"/>
      <c r="I37" s="8">
        <v>640</v>
      </c>
      <c r="J37" s="6" t="s">
        <v>276</v>
      </c>
      <c r="K37" s="9" t="s">
        <v>0</v>
      </c>
      <c r="L37" s="8">
        <v>406</v>
      </c>
      <c r="M37" s="10">
        <v>4410</v>
      </c>
      <c r="N37" s="10">
        <f t="shared" si="2"/>
        <v>676760</v>
      </c>
    </row>
    <row r="38" spans="1:14" s="11" customFormat="1" ht="21" customHeight="1" x14ac:dyDescent="0.25">
      <c r="A38" s="10"/>
      <c r="B38" s="10"/>
      <c r="C38" s="6" t="s">
        <v>110</v>
      </c>
      <c r="D38" s="9" t="s">
        <v>1</v>
      </c>
      <c r="E38" s="8"/>
      <c r="F38" s="10">
        <v>7530</v>
      </c>
      <c r="G38" s="10">
        <f t="shared" si="1"/>
        <v>886630</v>
      </c>
      <c r="H38" s="10"/>
      <c r="I38" s="8">
        <v>641</v>
      </c>
      <c r="J38" s="6" t="s">
        <v>439</v>
      </c>
      <c r="K38" s="9" t="s">
        <v>0</v>
      </c>
      <c r="L38" s="8">
        <v>405</v>
      </c>
      <c r="M38" s="10">
        <v>2800</v>
      </c>
      <c r="N38" s="10">
        <f t="shared" si="2"/>
        <v>681170</v>
      </c>
    </row>
    <row r="39" spans="1:14" s="11" customFormat="1" ht="21" customHeight="1" x14ac:dyDescent="0.25">
      <c r="A39" s="10"/>
      <c r="B39" s="10"/>
      <c r="C39" s="42" t="s">
        <v>549</v>
      </c>
      <c r="D39" s="9" t="s">
        <v>1</v>
      </c>
      <c r="E39" s="8"/>
      <c r="F39" s="10"/>
      <c r="G39" s="10">
        <f t="shared" si="1"/>
        <v>894160</v>
      </c>
      <c r="H39" s="10"/>
      <c r="I39" s="8">
        <v>642</v>
      </c>
      <c r="J39" s="6" t="s">
        <v>170</v>
      </c>
      <c r="K39" s="9" t="s">
        <v>0</v>
      </c>
      <c r="L39" s="8">
        <v>404</v>
      </c>
      <c r="M39" s="10">
        <v>2550</v>
      </c>
      <c r="N39" s="10">
        <f t="shared" si="2"/>
        <v>683970</v>
      </c>
    </row>
    <row r="40" spans="1:14" s="11" customFormat="1" ht="21" customHeight="1" x14ac:dyDescent="0.25">
      <c r="A40" s="10"/>
      <c r="B40" s="10"/>
      <c r="C40" s="42" t="s">
        <v>550</v>
      </c>
      <c r="D40" s="9" t="s">
        <v>1</v>
      </c>
      <c r="E40" s="8"/>
      <c r="F40" s="10"/>
      <c r="G40" s="22">
        <f t="shared" si="1"/>
        <v>894160</v>
      </c>
      <c r="H40" s="10"/>
      <c r="I40" s="8">
        <v>643</v>
      </c>
      <c r="J40" s="6" t="s">
        <v>385</v>
      </c>
      <c r="K40" s="9" t="s">
        <v>0</v>
      </c>
      <c r="L40" s="8">
        <v>595</v>
      </c>
      <c r="M40" s="10">
        <v>2780</v>
      </c>
      <c r="N40" s="10">
        <f t="shared" si="2"/>
        <v>686520</v>
      </c>
    </row>
    <row r="41" spans="1:14" s="11" customFormat="1" ht="21" customHeight="1" x14ac:dyDescent="0.25">
      <c r="A41" s="10"/>
      <c r="B41" s="10"/>
      <c r="C41" s="6"/>
      <c r="D41" s="9" t="s">
        <v>1</v>
      </c>
      <c r="E41" s="8"/>
      <c r="F41" s="10"/>
      <c r="G41" s="22">
        <f t="shared" si="1"/>
        <v>894160</v>
      </c>
      <c r="H41" s="10"/>
      <c r="I41" s="8">
        <v>644</v>
      </c>
      <c r="J41" s="6" t="s">
        <v>83</v>
      </c>
      <c r="K41" s="9" t="s">
        <v>0</v>
      </c>
      <c r="L41" s="8">
        <v>594</v>
      </c>
      <c r="M41" s="10">
        <v>3440</v>
      </c>
      <c r="N41" s="10">
        <f t="shared" si="2"/>
        <v>689300</v>
      </c>
    </row>
    <row r="42" spans="1:14" s="11" customFormat="1" ht="21" customHeight="1" x14ac:dyDescent="0.25">
      <c r="A42" s="10"/>
      <c r="B42" s="10"/>
      <c r="C42" s="31" t="s">
        <v>551</v>
      </c>
      <c r="D42" s="9" t="s">
        <v>1</v>
      </c>
      <c r="E42" s="8"/>
      <c r="F42" s="10"/>
      <c r="G42" s="22">
        <f t="shared" si="1"/>
        <v>894160</v>
      </c>
      <c r="H42" s="10"/>
      <c r="I42" s="8">
        <v>645</v>
      </c>
      <c r="J42" s="6" t="s">
        <v>39</v>
      </c>
      <c r="K42" s="9" t="s">
        <v>0</v>
      </c>
      <c r="L42" s="8">
        <v>581</v>
      </c>
      <c r="M42" s="10">
        <v>38770</v>
      </c>
      <c r="N42" s="10">
        <f t="shared" si="2"/>
        <v>692740</v>
      </c>
    </row>
    <row r="43" spans="1:14" s="11" customFormat="1" ht="21" customHeight="1" x14ac:dyDescent="0.25">
      <c r="A43" s="10"/>
      <c r="B43" s="10"/>
      <c r="C43" s="36" t="s">
        <v>552</v>
      </c>
      <c r="D43" s="9" t="s">
        <v>1</v>
      </c>
      <c r="E43" s="8"/>
      <c r="F43" s="10"/>
      <c r="G43" s="22">
        <f t="shared" si="1"/>
        <v>894160</v>
      </c>
      <c r="H43" s="10"/>
      <c r="I43" s="10"/>
      <c r="J43" s="10"/>
      <c r="K43" s="9" t="s">
        <v>0</v>
      </c>
      <c r="L43" s="8"/>
      <c r="M43" s="10"/>
      <c r="N43" s="10">
        <f t="shared" si="2"/>
        <v>731510</v>
      </c>
    </row>
    <row r="44" spans="1:14" s="11" customFormat="1" ht="21" customHeight="1" x14ac:dyDescent="0.25">
      <c r="A44" s="10"/>
      <c r="B44" s="10"/>
      <c r="C44" s="31" t="s">
        <v>553</v>
      </c>
      <c r="D44" s="9" t="s">
        <v>1</v>
      </c>
      <c r="E44" s="10"/>
      <c r="F44" s="10"/>
      <c r="G44" s="22">
        <f>G43+F43</f>
        <v>894160</v>
      </c>
      <c r="H44" s="10"/>
      <c r="I44" s="10"/>
      <c r="J44" s="10"/>
      <c r="K44" s="9" t="s">
        <v>0</v>
      </c>
      <c r="L44" s="10"/>
      <c r="M44" s="10"/>
      <c r="N44" s="22">
        <f t="shared" si="2"/>
        <v>731510</v>
      </c>
    </row>
    <row r="45" spans="1:14" ht="31.5" customHeight="1" x14ac:dyDescent="0.25">
      <c r="A45" s="46" t="s">
        <v>9</v>
      </c>
      <c r="B45" s="46"/>
      <c r="C45" s="47"/>
      <c r="D45" s="54">
        <f>G44+F44</f>
        <v>894160</v>
      </c>
      <c r="E45" s="54"/>
      <c r="F45" s="54"/>
      <c r="G45" s="54"/>
      <c r="H45" s="48" t="s">
        <v>10</v>
      </c>
      <c r="I45" s="48"/>
      <c r="J45" s="49"/>
      <c r="K45" s="54">
        <f>N44+M44</f>
        <v>731510</v>
      </c>
      <c r="L45" s="54"/>
      <c r="M45" s="54"/>
      <c r="N45" s="54"/>
    </row>
    <row r="46" spans="1:14" ht="30.75" customHeight="1" x14ac:dyDescent="0.25">
      <c r="A46" s="48" t="s">
        <v>10</v>
      </c>
      <c r="B46" s="48"/>
      <c r="C46" s="49"/>
      <c r="D46" s="55">
        <f>K45</f>
        <v>731510</v>
      </c>
      <c r="E46" s="55"/>
      <c r="F46" s="55"/>
      <c r="G46" s="55"/>
      <c r="H46" s="59"/>
      <c r="I46" s="59"/>
      <c r="J46" s="13"/>
      <c r="K46" s="61"/>
      <c r="L46" s="61"/>
      <c r="M46" s="61"/>
      <c r="N46" s="14"/>
    </row>
    <row r="47" spans="1:14" ht="36.75" customHeight="1" x14ac:dyDescent="0.25">
      <c r="A47" s="50" t="s">
        <v>11</v>
      </c>
      <c r="B47" s="50"/>
      <c r="C47" s="51"/>
      <c r="D47" s="63">
        <f>D45-D46</f>
        <v>162650</v>
      </c>
      <c r="E47" s="63"/>
      <c r="F47" s="63"/>
      <c r="G47" s="63"/>
      <c r="H47" s="59"/>
      <c r="I47" s="59"/>
      <c r="J47" s="13"/>
      <c r="K47" s="60"/>
      <c r="L47" s="60"/>
      <c r="M47" s="60"/>
      <c r="N47" s="15"/>
    </row>
    <row r="48" spans="1:14" ht="21" customHeight="1" x14ac:dyDescent="0.25">
      <c r="C48" s="7"/>
      <c r="D48" s="4"/>
      <c r="E48" s="4"/>
      <c r="F48" s="4"/>
      <c r="G48" s="4"/>
      <c r="J48" s="7"/>
      <c r="K48" s="4"/>
      <c r="L48" s="4"/>
      <c r="M48" s="4"/>
      <c r="N48" s="4"/>
    </row>
    <row r="49" spans="3:14" ht="21" customHeight="1" x14ac:dyDescent="0.25">
      <c r="C49" s="7"/>
      <c r="D49" s="4"/>
      <c r="E49" s="4"/>
      <c r="F49" s="4"/>
      <c r="G49" s="4"/>
      <c r="J49" s="7"/>
      <c r="K49" s="4"/>
      <c r="L49" s="4"/>
      <c r="M49" s="4"/>
      <c r="N49" s="4"/>
    </row>
    <row r="50" spans="3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3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3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3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3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3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3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</sheetData>
  <mergeCells count="21">
    <mergeCell ref="A47:C47"/>
    <mergeCell ref="D47:G47"/>
    <mergeCell ref="H47:I47"/>
    <mergeCell ref="K47:M47"/>
    <mergeCell ref="A4:E4"/>
    <mergeCell ref="A45:C45"/>
    <mergeCell ref="D45:G45"/>
    <mergeCell ref="H45:J45"/>
    <mergeCell ref="K45:N45"/>
    <mergeCell ref="A46:C46"/>
    <mergeCell ref="D46:G46"/>
    <mergeCell ref="H46:I46"/>
    <mergeCell ref="K46:M4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N58"/>
  <sheetViews>
    <sheetView view="pageBreakPreview" topLeftCell="G28" zoomScale="115" zoomScaleNormal="145" zoomScaleSheetLayoutView="115" zoomScalePageLayoutView="85" workbookViewId="0">
      <selection activeCell="J36" sqref="J36:J38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251</v>
      </c>
      <c r="D3" s="58" t="s">
        <v>4</v>
      </c>
      <c r="E3" s="58"/>
      <c r="F3" s="17" t="s">
        <v>3</v>
      </c>
      <c r="G3" s="3">
        <v>45595</v>
      </c>
      <c r="H3" s="57" t="s">
        <v>8</v>
      </c>
      <c r="I3" s="57"/>
      <c r="J3" s="18" t="s">
        <v>251</v>
      </c>
      <c r="K3" s="62" t="s">
        <v>5</v>
      </c>
      <c r="L3" s="62"/>
      <c r="M3" s="17" t="s">
        <v>3</v>
      </c>
      <c r="N3" s="3">
        <v>45595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(29)'!D47</f>
        <v>162650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1625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8790</v>
      </c>
      <c r="G5" s="10">
        <f>F4</f>
        <v>162650</v>
      </c>
      <c r="H5" s="8"/>
      <c r="I5" s="8"/>
      <c r="J5" s="31" t="s">
        <v>54</v>
      </c>
      <c r="K5" s="9" t="s">
        <v>0</v>
      </c>
      <c r="L5" s="8"/>
      <c r="M5" s="10">
        <v>650</v>
      </c>
      <c r="N5" s="10">
        <f>M4</f>
        <v>1625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80</v>
      </c>
      <c r="G6" s="10">
        <f>G5+F5</f>
        <v>171440</v>
      </c>
      <c r="H6" s="8"/>
      <c r="I6" s="8"/>
      <c r="J6" s="31" t="s">
        <v>100</v>
      </c>
      <c r="K6" s="9" t="s">
        <v>0</v>
      </c>
      <c r="L6" s="8"/>
      <c r="M6" s="10">
        <v>700</v>
      </c>
      <c r="N6" s="10">
        <f t="shared" ref="N6" si="0">N5+M5</f>
        <v>2275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80</v>
      </c>
      <c r="G7" s="10">
        <f t="shared" ref="G7:G45" si="1">G6+F6</f>
        <v>171520</v>
      </c>
      <c r="H7" s="8"/>
      <c r="I7" s="8"/>
      <c r="J7" s="6" t="s">
        <v>393</v>
      </c>
      <c r="K7" s="9" t="s">
        <v>0</v>
      </c>
      <c r="L7" s="8"/>
      <c r="M7" s="10">
        <v>200000</v>
      </c>
      <c r="N7" s="10">
        <f>N6+M6</f>
        <v>2975</v>
      </c>
    </row>
    <row r="8" spans="1:14" s="11" customFormat="1" ht="21" customHeight="1" x14ac:dyDescent="0.25">
      <c r="A8" s="8"/>
      <c r="B8" s="8"/>
      <c r="C8" s="6" t="s">
        <v>554</v>
      </c>
      <c r="D8" s="9" t="s">
        <v>1</v>
      </c>
      <c r="E8" s="8"/>
      <c r="F8" s="10">
        <v>50</v>
      </c>
      <c r="G8" s="10">
        <f t="shared" si="1"/>
        <v>171600</v>
      </c>
      <c r="H8" s="8"/>
      <c r="I8" s="8">
        <v>646</v>
      </c>
      <c r="J8" s="6" t="s">
        <v>174</v>
      </c>
      <c r="K8" s="9" t="s">
        <v>0</v>
      </c>
      <c r="L8" s="8">
        <v>415</v>
      </c>
      <c r="M8" s="10">
        <v>51660</v>
      </c>
      <c r="N8" s="10">
        <f t="shared" ref="N8:N46" si="2">N7+M7</f>
        <v>202975</v>
      </c>
    </row>
    <row r="9" spans="1:14" s="11" customFormat="1" ht="21" customHeight="1" x14ac:dyDescent="0.25">
      <c r="A9" s="8"/>
      <c r="B9" s="8"/>
      <c r="C9" s="6" t="s">
        <v>556</v>
      </c>
      <c r="D9" s="9" t="s">
        <v>1</v>
      </c>
      <c r="E9" s="8"/>
      <c r="F9" s="10">
        <v>40000</v>
      </c>
      <c r="G9" s="10">
        <f t="shared" si="1"/>
        <v>171650</v>
      </c>
      <c r="H9" s="8"/>
      <c r="I9" s="8">
        <v>647</v>
      </c>
      <c r="J9" s="6" t="s">
        <v>173</v>
      </c>
      <c r="K9" s="9" t="s">
        <v>0</v>
      </c>
      <c r="L9" s="8">
        <v>420</v>
      </c>
      <c r="M9" s="10">
        <v>26090</v>
      </c>
      <c r="N9" s="10">
        <f t="shared" si="2"/>
        <v>254635</v>
      </c>
    </row>
    <row r="10" spans="1:14" s="11" customFormat="1" ht="21" customHeight="1" x14ac:dyDescent="0.25">
      <c r="A10" s="8"/>
      <c r="B10" s="8"/>
      <c r="C10" s="6" t="s">
        <v>555</v>
      </c>
      <c r="D10" s="9" t="s">
        <v>1</v>
      </c>
      <c r="E10" s="8"/>
      <c r="F10" s="10">
        <v>1000</v>
      </c>
      <c r="G10" s="10">
        <f t="shared" si="1"/>
        <v>211650</v>
      </c>
      <c r="H10" s="8"/>
      <c r="I10" s="8">
        <v>648</v>
      </c>
      <c r="J10" s="6" t="s">
        <v>43</v>
      </c>
      <c r="K10" s="9" t="s">
        <v>0</v>
      </c>
      <c r="L10" s="8">
        <v>416</v>
      </c>
      <c r="M10" s="10">
        <v>2680</v>
      </c>
      <c r="N10" s="10">
        <f t="shared" si="2"/>
        <v>280725</v>
      </c>
    </row>
    <row r="11" spans="1:14" s="11" customFormat="1" ht="21" customHeight="1" x14ac:dyDescent="0.25">
      <c r="A11" s="8"/>
      <c r="B11" s="8"/>
      <c r="C11" s="6" t="s">
        <v>39</v>
      </c>
      <c r="D11" s="9" t="s">
        <v>1</v>
      </c>
      <c r="E11" s="8"/>
      <c r="F11" s="10">
        <v>29090</v>
      </c>
      <c r="G11" s="10">
        <f t="shared" si="1"/>
        <v>212650</v>
      </c>
      <c r="H11" s="8"/>
      <c r="I11" s="8">
        <v>649</v>
      </c>
      <c r="J11" s="6" t="s">
        <v>46</v>
      </c>
      <c r="K11" s="9" t="s">
        <v>0</v>
      </c>
      <c r="L11" s="8">
        <v>418</v>
      </c>
      <c r="M11" s="10">
        <v>1300</v>
      </c>
      <c r="N11" s="10">
        <f t="shared" si="2"/>
        <v>283405</v>
      </c>
    </row>
    <row r="12" spans="1:14" s="11" customFormat="1" ht="21" customHeight="1" x14ac:dyDescent="0.25">
      <c r="A12" s="8"/>
      <c r="B12" s="8"/>
      <c r="C12" s="6" t="s">
        <v>183</v>
      </c>
      <c r="D12" s="9" t="s">
        <v>1</v>
      </c>
      <c r="E12" s="8"/>
      <c r="F12" s="10">
        <v>17100</v>
      </c>
      <c r="G12" s="10">
        <f t="shared" si="1"/>
        <v>241740</v>
      </c>
      <c r="H12" s="8"/>
      <c r="I12" s="8">
        <v>650</v>
      </c>
      <c r="J12" s="6" t="s">
        <v>49</v>
      </c>
      <c r="K12" s="9" t="s">
        <v>0</v>
      </c>
      <c r="L12" s="8">
        <v>417</v>
      </c>
      <c r="M12" s="10">
        <v>10070</v>
      </c>
      <c r="N12" s="10">
        <f t="shared" si="2"/>
        <v>284705</v>
      </c>
    </row>
    <row r="13" spans="1:14" s="11" customFormat="1" ht="21" customHeight="1" x14ac:dyDescent="0.25">
      <c r="A13" s="8"/>
      <c r="B13" s="8"/>
      <c r="C13" s="6" t="s">
        <v>173</v>
      </c>
      <c r="D13" s="9" t="s">
        <v>1</v>
      </c>
      <c r="E13" s="8"/>
      <c r="F13" s="10">
        <v>31120</v>
      </c>
      <c r="G13" s="10">
        <f t="shared" si="1"/>
        <v>258840</v>
      </c>
      <c r="H13" s="8"/>
      <c r="I13" s="8">
        <v>651</v>
      </c>
      <c r="J13" s="6" t="s">
        <v>360</v>
      </c>
      <c r="K13" s="9" t="s">
        <v>0</v>
      </c>
      <c r="L13" s="8">
        <v>424</v>
      </c>
      <c r="M13" s="10">
        <v>7830</v>
      </c>
      <c r="N13" s="10">
        <f t="shared" si="2"/>
        <v>294775</v>
      </c>
    </row>
    <row r="14" spans="1:14" s="11" customFormat="1" ht="21" customHeight="1" x14ac:dyDescent="0.25">
      <c r="A14" s="8"/>
      <c r="B14" s="8"/>
      <c r="C14" s="6" t="s">
        <v>49</v>
      </c>
      <c r="D14" s="9" t="s">
        <v>1</v>
      </c>
      <c r="E14" s="8"/>
      <c r="F14" s="10">
        <v>50000</v>
      </c>
      <c r="G14" s="10">
        <f t="shared" si="1"/>
        <v>289960</v>
      </c>
      <c r="H14" s="8"/>
      <c r="I14" s="8">
        <v>652</v>
      </c>
      <c r="J14" s="6" t="s">
        <v>245</v>
      </c>
      <c r="K14" s="9" t="s">
        <v>0</v>
      </c>
      <c r="L14" s="8">
        <v>421</v>
      </c>
      <c r="M14" s="10">
        <v>7500</v>
      </c>
      <c r="N14" s="10">
        <f t="shared" si="2"/>
        <v>302605</v>
      </c>
    </row>
    <row r="15" spans="1:14" s="11" customFormat="1" ht="21" customHeight="1" x14ac:dyDescent="0.25">
      <c r="A15" s="10"/>
      <c r="B15" s="10"/>
      <c r="C15" s="6" t="s">
        <v>557</v>
      </c>
      <c r="D15" s="9" t="s">
        <v>1</v>
      </c>
      <c r="E15" s="8"/>
      <c r="F15" s="10">
        <v>10000</v>
      </c>
      <c r="G15" s="10">
        <f t="shared" si="1"/>
        <v>339960</v>
      </c>
      <c r="H15" s="10"/>
      <c r="I15" s="8">
        <v>653</v>
      </c>
      <c r="J15" s="6" t="s">
        <v>85</v>
      </c>
      <c r="K15" s="9" t="s">
        <v>0</v>
      </c>
      <c r="L15" s="8">
        <v>425</v>
      </c>
      <c r="M15" s="10">
        <v>2640</v>
      </c>
      <c r="N15" s="10">
        <f t="shared" si="2"/>
        <v>310105</v>
      </c>
    </row>
    <row r="16" spans="1:14" s="11" customFormat="1" ht="21" customHeight="1" x14ac:dyDescent="0.25">
      <c r="A16" s="10"/>
      <c r="B16" s="10"/>
      <c r="C16" s="6" t="s">
        <v>245</v>
      </c>
      <c r="D16" s="9" t="s">
        <v>1</v>
      </c>
      <c r="E16" s="8"/>
      <c r="F16" s="10">
        <v>55000</v>
      </c>
      <c r="G16" s="10">
        <f t="shared" si="1"/>
        <v>349960</v>
      </c>
      <c r="H16" s="10"/>
      <c r="I16" s="8">
        <v>654</v>
      </c>
      <c r="J16" s="6" t="s">
        <v>44</v>
      </c>
      <c r="K16" s="9" t="s">
        <v>0</v>
      </c>
      <c r="L16" s="8">
        <v>428</v>
      </c>
      <c r="M16" s="10">
        <v>6740</v>
      </c>
      <c r="N16" s="10">
        <f t="shared" si="2"/>
        <v>312745</v>
      </c>
    </row>
    <row r="17" spans="1:14" s="11" customFormat="1" ht="21" customHeight="1" x14ac:dyDescent="0.25">
      <c r="A17" s="10"/>
      <c r="B17" s="10"/>
      <c r="C17" s="6" t="s">
        <v>350</v>
      </c>
      <c r="D17" s="9" t="s">
        <v>1</v>
      </c>
      <c r="E17" s="8"/>
      <c r="F17" s="10">
        <v>28000</v>
      </c>
      <c r="G17" s="10">
        <f t="shared" si="1"/>
        <v>404960</v>
      </c>
      <c r="H17" s="10"/>
      <c r="I17" s="8">
        <v>655</v>
      </c>
      <c r="J17" s="6" t="s">
        <v>281</v>
      </c>
      <c r="K17" s="9" t="s">
        <v>0</v>
      </c>
      <c r="L17" s="8">
        <v>438</v>
      </c>
      <c r="M17" s="10">
        <v>2270</v>
      </c>
      <c r="N17" s="10">
        <f t="shared" si="2"/>
        <v>319485</v>
      </c>
    </row>
    <row r="18" spans="1:14" s="11" customFormat="1" ht="21" customHeight="1" x14ac:dyDescent="0.25">
      <c r="A18" s="10"/>
      <c r="B18" s="10"/>
      <c r="C18" s="6" t="s">
        <v>407</v>
      </c>
      <c r="D18" s="9" t="s">
        <v>1</v>
      </c>
      <c r="E18" s="8"/>
      <c r="F18" s="10">
        <v>30000</v>
      </c>
      <c r="G18" s="10">
        <f t="shared" si="1"/>
        <v>432960</v>
      </c>
      <c r="H18" s="10"/>
      <c r="I18" s="8">
        <v>656</v>
      </c>
      <c r="J18" s="6" t="s">
        <v>110</v>
      </c>
      <c r="K18" s="9" t="s">
        <v>0</v>
      </c>
      <c r="L18" s="8">
        <v>422</v>
      </c>
      <c r="M18" s="10">
        <v>1620</v>
      </c>
      <c r="N18" s="10">
        <f t="shared" si="2"/>
        <v>321755</v>
      </c>
    </row>
    <row r="19" spans="1:14" s="11" customFormat="1" ht="21" customHeight="1" x14ac:dyDescent="0.25">
      <c r="A19" s="10"/>
      <c r="B19" s="10"/>
      <c r="C19" s="6" t="s">
        <v>290</v>
      </c>
      <c r="D19" s="9" t="s">
        <v>1</v>
      </c>
      <c r="E19" s="8"/>
      <c r="F19" s="10">
        <v>15000</v>
      </c>
      <c r="G19" s="10">
        <f t="shared" si="1"/>
        <v>462960</v>
      </c>
      <c r="H19" s="10"/>
      <c r="I19" s="8">
        <v>657</v>
      </c>
      <c r="J19" s="6" t="s">
        <v>19</v>
      </c>
      <c r="K19" s="9" t="s">
        <v>0</v>
      </c>
      <c r="L19" s="8">
        <v>419</v>
      </c>
      <c r="M19" s="10">
        <v>21760</v>
      </c>
      <c r="N19" s="10">
        <f t="shared" si="2"/>
        <v>323375</v>
      </c>
    </row>
    <row r="20" spans="1:14" s="11" customFormat="1" ht="21" customHeight="1" x14ac:dyDescent="0.25">
      <c r="A20" s="10"/>
      <c r="B20" s="10"/>
      <c r="C20" s="6" t="s">
        <v>256</v>
      </c>
      <c r="D20" s="9" t="s">
        <v>1</v>
      </c>
      <c r="E20" s="8"/>
      <c r="F20" s="10">
        <v>2700</v>
      </c>
      <c r="G20" s="10">
        <f t="shared" si="1"/>
        <v>477960</v>
      </c>
      <c r="H20" s="10"/>
      <c r="I20" s="8">
        <v>658</v>
      </c>
      <c r="J20" s="6" t="s">
        <v>348</v>
      </c>
      <c r="K20" s="9" t="s">
        <v>0</v>
      </c>
      <c r="L20" s="8">
        <v>433</v>
      </c>
      <c r="M20" s="10">
        <v>5780</v>
      </c>
      <c r="N20" s="10">
        <f t="shared" si="2"/>
        <v>345135</v>
      </c>
    </row>
    <row r="21" spans="1:14" s="11" customFormat="1" ht="21" customHeight="1" x14ac:dyDescent="0.25">
      <c r="A21" s="10"/>
      <c r="B21" s="10"/>
      <c r="C21" s="6" t="s">
        <v>518</v>
      </c>
      <c r="D21" s="9" t="s">
        <v>1</v>
      </c>
      <c r="E21" s="8"/>
      <c r="F21" s="10">
        <v>2030</v>
      </c>
      <c r="G21" s="10">
        <f t="shared" si="1"/>
        <v>480660</v>
      </c>
      <c r="H21" s="10"/>
      <c r="I21" s="8">
        <v>659</v>
      </c>
      <c r="J21" s="6" t="s">
        <v>258</v>
      </c>
      <c r="K21" s="9" t="s">
        <v>0</v>
      </c>
      <c r="L21" s="8">
        <v>432</v>
      </c>
      <c r="M21" s="10">
        <v>2320</v>
      </c>
      <c r="N21" s="10">
        <f t="shared" si="2"/>
        <v>350915</v>
      </c>
    </row>
    <row r="22" spans="1:14" s="11" customFormat="1" ht="21" customHeight="1" x14ac:dyDescent="0.25">
      <c r="A22" s="10"/>
      <c r="B22" s="10"/>
      <c r="C22" s="6" t="s">
        <v>272</v>
      </c>
      <c r="D22" s="9" t="s">
        <v>1</v>
      </c>
      <c r="E22" s="8"/>
      <c r="F22" s="10">
        <v>4700</v>
      </c>
      <c r="G22" s="10">
        <f t="shared" si="1"/>
        <v>482690</v>
      </c>
      <c r="H22" s="10"/>
      <c r="I22" s="8">
        <v>660</v>
      </c>
      <c r="J22" s="6" t="s">
        <v>87</v>
      </c>
      <c r="K22" s="9" t="s">
        <v>0</v>
      </c>
      <c r="L22" s="8">
        <v>423</v>
      </c>
      <c r="M22" s="10">
        <v>2560</v>
      </c>
      <c r="N22" s="10">
        <f t="shared" si="2"/>
        <v>353235</v>
      </c>
    </row>
    <row r="23" spans="1:14" s="11" customFormat="1" ht="21" customHeight="1" x14ac:dyDescent="0.25">
      <c r="A23" s="10"/>
      <c r="B23" s="10"/>
      <c r="C23" s="6" t="s">
        <v>372</v>
      </c>
      <c r="D23" s="9" t="s">
        <v>1</v>
      </c>
      <c r="E23" s="8"/>
      <c r="F23" s="10">
        <v>3130</v>
      </c>
      <c r="G23" s="10">
        <f t="shared" si="1"/>
        <v>487390</v>
      </c>
      <c r="H23" s="10"/>
      <c r="I23" s="8">
        <v>661</v>
      </c>
      <c r="J23" s="6" t="s">
        <v>104</v>
      </c>
      <c r="K23" s="9" t="s">
        <v>0</v>
      </c>
      <c r="L23" s="8">
        <v>431</v>
      </c>
      <c r="M23" s="10">
        <v>4640</v>
      </c>
      <c r="N23" s="10">
        <f t="shared" si="2"/>
        <v>355795</v>
      </c>
    </row>
    <row r="24" spans="1:14" s="11" customFormat="1" ht="21" customHeight="1" x14ac:dyDescent="0.25">
      <c r="A24" s="10"/>
      <c r="B24" s="10"/>
      <c r="C24" s="6" t="s">
        <v>442</v>
      </c>
      <c r="D24" s="9" t="s">
        <v>1</v>
      </c>
      <c r="E24" s="8"/>
      <c r="F24" s="10">
        <v>4900</v>
      </c>
      <c r="G24" s="10">
        <f t="shared" si="1"/>
        <v>490520</v>
      </c>
      <c r="H24" s="10"/>
      <c r="I24" s="8">
        <v>662</v>
      </c>
      <c r="J24" s="6" t="s">
        <v>558</v>
      </c>
      <c r="K24" s="9" t="s">
        <v>0</v>
      </c>
      <c r="L24" s="8">
        <v>430</v>
      </c>
      <c r="M24" s="10">
        <v>6300</v>
      </c>
      <c r="N24" s="10">
        <f t="shared" si="2"/>
        <v>360435</v>
      </c>
    </row>
    <row r="25" spans="1:14" s="11" customFormat="1" ht="21" customHeight="1" x14ac:dyDescent="0.25">
      <c r="A25" s="10"/>
      <c r="B25" s="10"/>
      <c r="C25" s="6" t="s">
        <v>110</v>
      </c>
      <c r="D25" s="9" t="s">
        <v>1</v>
      </c>
      <c r="E25" s="8"/>
      <c r="F25" s="10">
        <v>7830</v>
      </c>
      <c r="G25" s="10">
        <f t="shared" si="1"/>
        <v>495420</v>
      </c>
      <c r="H25" s="10"/>
      <c r="I25" s="8">
        <v>663</v>
      </c>
      <c r="J25" s="6" t="s">
        <v>559</v>
      </c>
      <c r="K25" s="9" t="s">
        <v>0</v>
      </c>
      <c r="L25" s="8">
        <v>429</v>
      </c>
      <c r="M25" s="10">
        <v>6120</v>
      </c>
      <c r="N25" s="10">
        <f t="shared" si="2"/>
        <v>366735</v>
      </c>
    </row>
    <row r="26" spans="1:14" s="11" customFormat="1" ht="21" customHeight="1" x14ac:dyDescent="0.25">
      <c r="A26" s="10"/>
      <c r="B26" s="10"/>
      <c r="C26" s="6" t="s">
        <v>44</v>
      </c>
      <c r="D26" s="9" t="s">
        <v>1</v>
      </c>
      <c r="E26" s="8"/>
      <c r="F26" s="10">
        <v>11600</v>
      </c>
      <c r="G26" s="10">
        <f t="shared" si="1"/>
        <v>503250</v>
      </c>
      <c r="H26" s="10"/>
      <c r="I26" s="8">
        <v>664</v>
      </c>
      <c r="J26" s="6" t="s">
        <v>274</v>
      </c>
      <c r="K26" s="9" t="s">
        <v>0</v>
      </c>
      <c r="L26" s="8">
        <v>427</v>
      </c>
      <c r="M26" s="10">
        <v>7820</v>
      </c>
      <c r="N26" s="10">
        <f t="shared" si="2"/>
        <v>372855</v>
      </c>
    </row>
    <row r="27" spans="1:14" s="11" customFormat="1" ht="21" customHeight="1" x14ac:dyDescent="0.25">
      <c r="A27" s="10"/>
      <c r="B27" s="10"/>
      <c r="C27" s="6" t="s">
        <v>83</v>
      </c>
      <c r="D27" s="9" t="s">
        <v>1</v>
      </c>
      <c r="E27" s="8"/>
      <c r="F27" s="10">
        <v>3440</v>
      </c>
      <c r="G27" s="10">
        <f t="shared" si="1"/>
        <v>514850</v>
      </c>
      <c r="H27" s="10"/>
      <c r="I27" s="8">
        <v>665</v>
      </c>
      <c r="J27" s="6" t="s">
        <v>560</v>
      </c>
      <c r="K27" s="9" t="s">
        <v>0</v>
      </c>
      <c r="L27" s="8">
        <v>426</v>
      </c>
      <c r="M27" s="10">
        <v>1000</v>
      </c>
      <c r="N27" s="10">
        <f t="shared" si="2"/>
        <v>380675</v>
      </c>
    </row>
    <row r="28" spans="1:14" s="11" customFormat="1" ht="21" customHeight="1" x14ac:dyDescent="0.25">
      <c r="A28" s="10"/>
      <c r="B28" s="10"/>
      <c r="C28" s="6" t="s">
        <v>375</v>
      </c>
      <c r="D28" s="9" t="s">
        <v>1</v>
      </c>
      <c r="E28" s="8"/>
      <c r="F28" s="10">
        <v>7000</v>
      </c>
      <c r="G28" s="10">
        <f t="shared" si="1"/>
        <v>518290</v>
      </c>
      <c r="H28" s="10"/>
      <c r="I28" s="8">
        <v>666</v>
      </c>
      <c r="J28" s="6" t="s">
        <v>442</v>
      </c>
      <c r="K28" s="9" t="s">
        <v>0</v>
      </c>
      <c r="L28" s="8">
        <v>434</v>
      </c>
      <c r="M28" s="10">
        <v>1510</v>
      </c>
      <c r="N28" s="10">
        <f t="shared" si="2"/>
        <v>381675</v>
      </c>
    </row>
    <row r="29" spans="1:14" s="11" customFormat="1" ht="21" customHeight="1" x14ac:dyDescent="0.25">
      <c r="A29" s="10"/>
      <c r="B29" s="10"/>
      <c r="C29" s="6" t="s">
        <v>348</v>
      </c>
      <c r="D29" s="9" t="s">
        <v>1</v>
      </c>
      <c r="E29" s="8"/>
      <c r="F29" s="10">
        <v>20000</v>
      </c>
      <c r="G29" s="10">
        <f t="shared" si="1"/>
        <v>525290</v>
      </c>
      <c r="H29" s="10"/>
      <c r="I29" s="8">
        <v>667</v>
      </c>
      <c r="J29" s="6" t="s">
        <v>501</v>
      </c>
      <c r="K29" s="9" t="s">
        <v>0</v>
      </c>
      <c r="L29" s="8">
        <v>435</v>
      </c>
      <c r="M29" s="10">
        <v>1850</v>
      </c>
      <c r="N29" s="10">
        <f t="shared" si="2"/>
        <v>383185</v>
      </c>
    </row>
    <row r="30" spans="1:14" s="11" customFormat="1" ht="21" customHeight="1" x14ac:dyDescent="0.25">
      <c r="A30" s="10"/>
      <c r="B30" s="10"/>
      <c r="C30" s="6" t="s">
        <v>329</v>
      </c>
      <c r="D30" s="9" t="s">
        <v>1</v>
      </c>
      <c r="E30" s="8"/>
      <c r="F30" s="10">
        <v>12020</v>
      </c>
      <c r="G30" s="10">
        <f t="shared" si="1"/>
        <v>545290</v>
      </c>
      <c r="H30" s="10"/>
      <c r="I30" s="8">
        <v>668</v>
      </c>
      <c r="J30" s="6" t="s">
        <v>83</v>
      </c>
      <c r="K30" s="9" t="s">
        <v>0</v>
      </c>
      <c r="L30" s="8">
        <v>436</v>
      </c>
      <c r="M30" s="10">
        <v>2590</v>
      </c>
      <c r="N30" s="10">
        <f t="shared" si="2"/>
        <v>385035</v>
      </c>
    </row>
    <row r="31" spans="1:14" s="11" customFormat="1" ht="21" customHeight="1" x14ac:dyDescent="0.25">
      <c r="A31" s="10"/>
      <c r="B31" s="10"/>
      <c r="C31" s="6" t="s">
        <v>19</v>
      </c>
      <c r="D31" s="9" t="s">
        <v>1</v>
      </c>
      <c r="E31" s="8"/>
      <c r="F31" s="10">
        <v>7270</v>
      </c>
      <c r="G31" s="10">
        <f t="shared" si="1"/>
        <v>557310</v>
      </c>
      <c r="H31" s="10"/>
      <c r="I31" s="8">
        <v>669</v>
      </c>
      <c r="J31" s="6" t="s">
        <v>279</v>
      </c>
      <c r="K31" s="9" t="s">
        <v>0</v>
      </c>
      <c r="L31" s="8">
        <v>439</v>
      </c>
      <c r="M31" s="10">
        <v>4320</v>
      </c>
      <c r="N31" s="10">
        <f t="shared" si="2"/>
        <v>387625</v>
      </c>
    </row>
    <row r="32" spans="1:14" s="11" customFormat="1" ht="21" customHeight="1" x14ac:dyDescent="0.25">
      <c r="A32" s="10"/>
      <c r="B32" s="10"/>
      <c r="C32" s="6" t="s">
        <v>111</v>
      </c>
      <c r="D32" s="9" t="s">
        <v>1</v>
      </c>
      <c r="E32" s="8"/>
      <c r="F32" s="10">
        <v>6540</v>
      </c>
      <c r="G32" s="10">
        <f t="shared" si="1"/>
        <v>564580</v>
      </c>
      <c r="H32" s="10"/>
      <c r="I32" s="8">
        <v>670</v>
      </c>
      <c r="J32" s="6" t="s">
        <v>561</v>
      </c>
      <c r="K32" s="9" t="s">
        <v>0</v>
      </c>
      <c r="L32" s="8">
        <v>437</v>
      </c>
      <c r="M32" s="10">
        <v>1660</v>
      </c>
      <c r="N32" s="10">
        <f t="shared" si="2"/>
        <v>391945</v>
      </c>
    </row>
    <row r="33" spans="1:14" s="11" customFormat="1" ht="21" customHeight="1" x14ac:dyDescent="0.25">
      <c r="A33" s="10"/>
      <c r="B33" s="10"/>
      <c r="C33" s="6" t="s">
        <v>87</v>
      </c>
      <c r="D33" s="9" t="s">
        <v>1</v>
      </c>
      <c r="E33" s="8"/>
      <c r="F33" s="10">
        <v>5320</v>
      </c>
      <c r="G33" s="10">
        <f t="shared" si="1"/>
        <v>571120</v>
      </c>
      <c r="H33" s="10"/>
      <c r="I33" s="8">
        <v>671</v>
      </c>
      <c r="J33" s="6" t="s">
        <v>39</v>
      </c>
      <c r="K33" s="9" t="s">
        <v>0</v>
      </c>
      <c r="L33" s="8">
        <v>413</v>
      </c>
      <c r="M33" s="10">
        <v>29090</v>
      </c>
      <c r="N33" s="10">
        <f t="shared" si="2"/>
        <v>393605</v>
      </c>
    </row>
    <row r="34" spans="1:14" s="11" customFormat="1" ht="21" customHeight="1" x14ac:dyDescent="0.25">
      <c r="A34" s="10"/>
      <c r="B34" s="10"/>
      <c r="C34" s="6" t="s">
        <v>325</v>
      </c>
      <c r="D34" s="9" t="s">
        <v>1</v>
      </c>
      <c r="E34" s="8"/>
      <c r="F34" s="10">
        <v>20000</v>
      </c>
      <c r="G34" s="10">
        <f t="shared" si="1"/>
        <v>576440</v>
      </c>
      <c r="H34" s="10"/>
      <c r="I34" s="10"/>
      <c r="J34" s="10"/>
      <c r="K34" s="21" t="s">
        <v>0</v>
      </c>
      <c r="L34" s="8"/>
      <c r="M34" s="10"/>
      <c r="N34" s="10">
        <f t="shared" si="2"/>
        <v>422695</v>
      </c>
    </row>
    <row r="35" spans="1:14" s="11" customFormat="1" ht="21" customHeight="1" x14ac:dyDescent="0.25">
      <c r="A35" s="10"/>
      <c r="B35" s="10"/>
      <c r="C35" s="6" t="s">
        <v>170</v>
      </c>
      <c r="D35" s="9" t="s">
        <v>1</v>
      </c>
      <c r="E35" s="8"/>
      <c r="F35" s="10">
        <v>2550</v>
      </c>
      <c r="G35" s="10">
        <f t="shared" si="1"/>
        <v>596440</v>
      </c>
      <c r="H35" s="10"/>
      <c r="I35" s="10"/>
      <c r="J35" s="10"/>
      <c r="K35" s="21" t="s">
        <v>0</v>
      </c>
      <c r="L35" s="8"/>
      <c r="M35" s="10"/>
      <c r="N35" s="22">
        <f t="shared" si="2"/>
        <v>422695</v>
      </c>
    </row>
    <row r="36" spans="1:14" s="11" customFormat="1" ht="21" customHeight="1" x14ac:dyDescent="0.25">
      <c r="A36" s="10"/>
      <c r="B36" s="10"/>
      <c r="C36" s="6" t="s">
        <v>112</v>
      </c>
      <c r="D36" s="9" t="s">
        <v>1</v>
      </c>
      <c r="E36" s="8"/>
      <c r="F36" s="10">
        <v>3290</v>
      </c>
      <c r="G36" s="10">
        <f t="shared" si="1"/>
        <v>598990</v>
      </c>
      <c r="H36" s="10"/>
      <c r="I36" s="10"/>
      <c r="J36" s="31" t="s">
        <v>564</v>
      </c>
      <c r="K36" s="21" t="s">
        <v>0</v>
      </c>
      <c r="L36" s="8"/>
      <c r="M36" s="10"/>
      <c r="N36" s="22">
        <f t="shared" si="2"/>
        <v>422695</v>
      </c>
    </row>
    <row r="37" spans="1:14" s="11" customFormat="1" ht="21" customHeight="1" x14ac:dyDescent="0.25">
      <c r="A37" s="10"/>
      <c r="B37" s="10"/>
      <c r="C37" s="6" t="s">
        <v>402</v>
      </c>
      <c r="D37" s="9" t="s">
        <v>1</v>
      </c>
      <c r="E37" s="8"/>
      <c r="F37" s="10">
        <v>3530</v>
      </c>
      <c r="G37" s="10">
        <f t="shared" si="1"/>
        <v>602280</v>
      </c>
      <c r="H37" s="10"/>
      <c r="I37" s="10"/>
      <c r="J37" s="36" t="s">
        <v>565</v>
      </c>
      <c r="K37" s="21" t="s">
        <v>0</v>
      </c>
      <c r="L37" s="8"/>
      <c r="M37" s="10"/>
      <c r="N37" s="22">
        <f t="shared" si="2"/>
        <v>422695</v>
      </c>
    </row>
    <row r="38" spans="1:14" s="11" customFormat="1" ht="21" customHeight="1" x14ac:dyDescent="0.25">
      <c r="A38" s="10"/>
      <c r="B38" s="10"/>
      <c r="C38" s="6" t="s">
        <v>333</v>
      </c>
      <c r="D38" s="9" t="s">
        <v>1</v>
      </c>
      <c r="E38" s="8"/>
      <c r="F38" s="10">
        <v>6480</v>
      </c>
      <c r="G38" s="10">
        <f t="shared" si="1"/>
        <v>605810</v>
      </c>
      <c r="H38" s="10"/>
      <c r="I38" s="10"/>
      <c r="J38" s="31" t="s">
        <v>566</v>
      </c>
      <c r="K38" s="21" t="s">
        <v>0</v>
      </c>
      <c r="L38" s="8"/>
      <c r="M38" s="10"/>
      <c r="N38" s="22">
        <f t="shared" si="2"/>
        <v>422695</v>
      </c>
    </row>
    <row r="39" spans="1:14" s="11" customFormat="1" ht="21" customHeight="1" x14ac:dyDescent="0.25">
      <c r="A39" s="10"/>
      <c r="B39" s="10"/>
      <c r="C39" s="6" t="s">
        <v>281</v>
      </c>
      <c r="D39" s="9" t="s">
        <v>1</v>
      </c>
      <c r="E39" s="8"/>
      <c r="F39" s="10">
        <v>15520</v>
      </c>
      <c r="G39" s="10">
        <f t="shared" si="1"/>
        <v>612290</v>
      </c>
      <c r="H39" s="10"/>
      <c r="I39" s="10"/>
      <c r="J39" s="10"/>
      <c r="K39" s="21" t="s">
        <v>0</v>
      </c>
      <c r="L39" s="8"/>
      <c r="M39" s="10"/>
      <c r="N39" s="22">
        <f t="shared" si="2"/>
        <v>422695</v>
      </c>
    </row>
    <row r="40" spans="1:14" s="11" customFormat="1" ht="21" customHeight="1" x14ac:dyDescent="0.25">
      <c r="A40" s="10"/>
      <c r="B40" s="10"/>
      <c r="C40" s="10"/>
      <c r="D40" s="21" t="s">
        <v>1</v>
      </c>
      <c r="E40" s="8"/>
      <c r="F40" s="10"/>
      <c r="G40" s="10">
        <f t="shared" si="1"/>
        <v>627810</v>
      </c>
      <c r="H40" s="10"/>
      <c r="I40" s="10"/>
      <c r="J40" s="10"/>
      <c r="K40" s="21" t="s">
        <v>0</v>
      </c>
      <c r="L40" s="8"/>
      <c r="M40" s="10"/>
      <c r="N40" s="22">
        <f t="shared" si="2"/>
        <v>422695</v>
      </c>
    </row>
    <row r="41" spans="1:14" s="11" customFormat="1" ht="21" customHeight="1" x14ac:dyDescent="0.25">
      <c r="A41" s="10"/>
      <c r="B41" s="10"/>
      <c r="C41" s="10"/>
      <c r="D41" s="21" t="s">
        <v>1</v>
      </c>
      <c r="E41" s="8"/>
      <c r="F41" s="10"/>
      <c r="G41" s="22">
        <f t="shared" si="1"/>
        <v>627810</v>
      </c>
      <c r="H41" s="10"/>
      <c r="I41" s="10"/>
      <c r="J41" s="10"/>
      <c r="K41" s="21" t="s">
        <v>0</v>
      </c>
      <c r="L41" s="8"/>
      <c r="M41" s="10"/>
      <c r="N41" s="22">
        <f t="shared" si="2"/>
        <v>422695</v>
      </c>
    </row>
    <row r="42" spans="1:14" s="11" customFormat="1" ht="21" customHeight="1" x14ac:dyDescent="0.25">
      <c r="A42" s="10"/>
      <c r="B42" s="10"/>
      <c r="C42" s="10"/>
      <c r="D42" s="21" t="s">
        <v>1</v>
      </c>
      <c r="E42" s="8"/>
      <c r="F42" s="10"/>
      <c r="G42" s="22">
        <f t="shared" si="1"/>
        <v>627810</v>
      </c>
      <c r="H42" s="10"/>
      <c r="I42" s="10"/>
      <c r="J42" s="10"/>
      <c r="K42" s="21" t="s">
        <v>0</v>
      </c>
      <c r="L42" s="8"/>
      <c r="M42" s="10"/>
      <c r="N42" s="22">
        <f t="shared" si="2"/>
        <v>422695</v>
      </c>
    </row>
    <row r="43" spans="1:14" s="11" customFormat="1" ht="21" customHeight="1" x14ac:dyDescent="0.25">
      <c r="A43" s="10"/>
      <c r="B43" s="10"/>
      <c r="C43" s="42" t="s">
        <v>562</v>
      </c>
      <c r="D43" s="21" t="s">
        <v>1</v>
      </c>
      <c r="E43" s="8"/>
      <c r="F43" s="10"/>
      <c r="G43" s="22">
        <f t="shared" si="1"/>
        <v>627810</v>
      </c>
      <c r="H43" s="10"/>
      <c r="I43" s="10"/>
      <c r="J43" s="10"/>
      <c r="K43" s="21" t="s">
        <v>0</v>
      </c>
      <c r="L43" s="8"/>
      <c r="M43" s="10"/>
      <c r="N43" s="22">
        <f t="shared" si="2"/>
        <v>422695</v>
      </c>
    </row>
    <row r="44" spans="1:14" s="11" customFormat="1" ht="21" customHeight="1" x14ac:dyDescent="0.25">
      <c r="A44" s="10"/>
      <c r="B44" s="10"/>
      <c r="C44" s="42" t="s">
        <v>563</v>
      </c>
      <c r="D44" s="21" t="s">
        <v>1</v>
      </c>
      <c r="E44" s="8"/>
      <c r="F44" s="10"/>
      <c r="G44" s="22">
        <f t="shared" si="1"/>
        <v>627810</v>
      </c>
      <c r="H44" s="10"/>
      <c r="I44" s="10"/>
      <c r="J44" s="10"/>
      <c r="K44" s="21" t="s">
        <v>0</v>
      </c>
      <c r="L44" s="8"/>
      <c r="M44" s="10"/>
      <c r="N44" s="22">
        <f t="shared" si="2"/>
        <v>422695</v>
      </c>
    </row>
    <row r="45" spans="1:14" s="11" customFormat="1" ht="21" customHeight="1" x14ac:dyDescent="0.25">
      <c r="A45" s="10"/>
      <c r="B45" s="10"/>
      <c r="C45" s="10"/>
      <c r="D45" s="21" t="s">
        <v>1</v>
      </c>
      <c r="E45" s="8"/>
      <c r="F45" s="10"/>
      <c r="G45" s="22">
        <f t="shared" si="1"/>
        <v>627810</v>
      </c>
      <c r="H45" s="10"/>
      <c r="I45" s="10"/>
      <c r="J45" s="10"/>
      <c r="K45" s="21" t="s">
        <v>0</v>
      </c>
      <c r="L45" s="8"/>
      <c r="M45" s="10"/>
      <c r="N45" s="22">
        <f t="shared" si="2"/>
        <v>422695</v>
      </c>
    </row>
    <row r="46" spans="1:14" s="11" customFormat="1" ht="21" customHeight="1" x14ac:dyDescent="0.25">
      <c r="A46" s="10"/>
      <c r="B46" s="10"/>
      <c r="C46" s="10"/>
      <c r="D46" s="21" t="s">
        <v>1</v>
      </c>
      <c r="E46" s="10"/>
      <c r="F46" s="10"/>
      <c r="G46" s="22">
        <f>G45+F45</f>
        <v>627810</v>
      </c>
      <c r="H46" s="10"/>
      <c r="I46" s="10"/>
      <c r="J46" s="10"/>
      <c r="K46" s="21" t="s">
        <v>0</v>
      </c>
      <c r="L46" s="10"/>
      <c r="M46" s="10"/>
      <c r="N46" s="22">
        <f t="shared" si="2"/>
        <v>422695</v>
      </c>
    </row>
    <row r="47" spans="1:14" ht="31.5" customHeight="1" x14ac:dyDescent="0.25">
      <c r="A47" s="46" t="s">
        <v>9</v>
      </c>
      <c r="B47" s="46"/>
      <c r="C47" s="47"/>
      <c r="D47" s="54">
        <f>G46+F46</f>
        <v>627810</v>
      </c>
      <c r="E47" s="54"/>
      <c r="F47" s="54"/>
      <c r="G47" s="54"/>
      <c r="H47" s="48" t="s">
        <v>10</v>
      </c>
      <c r="I47" s="48"/>
      <c r="J47" s="49"/>
      <c r="K47" s="54">
        <f>N46+M46</f>
        <v>422695</v>
      </c>
      <c r="L47" s="54"/>
      <c r="M47" s="54"/>
      <c r="N47" s="54"/>
    </row>
    <row r="48" spans="1:14" ht="30.75" customHeight="1" x14ac:dyDescent="0.25">
      <c r="A48" s="48" t="s">
        <v>10</v>
      </c>
      <c r="B48" s="48"/>
      <c r="C48" s="49"/>
      <c r="D48" s="55">
        <f>K47</f>
        <v>422695</v>
      </c>
      <c r="E48" s="55"/>
      <c r="F48" s="55"/>
      <c r="G48" s="55"/>
      <c r="H48" s="59"/>
      <c r="I48" s="59"/>
      <c r="J48" s="13"/>
      <c r="K48" s="61"/>
      <c r="L48" s="61"/>
      <c r="M48" s="61"/>
      <c r="N48" s="14"/>
    </row>
    <row r="49" spans="1:14" ht="36.75" customHeight="1" x14ac:dyDescent="0.25">
      <c r="A49" s="50" t="s">
        <v>11</v>
      </c>
      <c r="B49" s="50"/>
      <c r="C49" s="51"/>
      <c r="D49" s="63">
        <f>D47-D48</f>
        <v>205115</v>
      </c>
      <c r="E49" s="63"/>
      <c r="F49" s="63"/>
      <c r="G49" s="63"/>
      <c r="H49" s="59"/>
      <c r="I49" s="59"/>
      <c r="J49" s="13"/>
      <c r="K49" s="60"/>
      <c r="L49" s="60"/>
      <c r="M49" s="60"/>
      <c r="N49" s="15"/>
    </row>
    <row r="50" spans="1:14" ht="21" customHeight="1" x14ac:dyDescent="0.25">
      <c r="C50" s="7"/>
      <c r="D50" s="4"/>
      <c r="E50" s="4"/>
      <c r="F50" s="4"/>
      <c r="G50" s="4"/>
      <c r="J50" s="7"/>
      <c r="K50" s="4"/>
      <c r="L50" s="4"/>
      <c r="M50" s="4"/>
      <c r="N50" s="4"/>
    </row>
    <row r="51" spans="1:14" ht="21" customHeight="1" x14ac:dyDescent="0.25">
      <c r="C51" s="7"/>
      <c r="D51" s="4"/>
      <c r="E51" s="4"/>
      <c r="F51" s="4"/>
      <c r="G51" s="4"/>
      <c r="J51" s="7"/>
      <c r="K51" s="4"/>
      <c r="L51" s="4"/>
      <c r="M51" s="4"/>
      <c r="N51" s="4"/>
    </row>
    <row r="52" spans="1:14" ht="21" customHeight="1" x14ac:dyDescent="0.25">
      <c r="C52" s="7"/>
      <c r="D52" s="4"/>
      <c r="E52" s="4"/>
      <c r="F52" s="4"/>
      <c r="G52" s="4"/>
      <c r="J52" s="7"/>
      <c r="K52" s="4"/>
      <c r="L52" s="4"/>
      <c r="M52" s="4"/>
      <c r="N52" s="4"/>
    </row>
    <row r="53" spans="1:14" ht="21" customHeight="1" x14ac:dyDescent="0.25">
      <c r="C53" s="7"/>
      <c r="D53" s="4"/>
      <c r="E53" s="4"/>
      <c r="F53" s="4"/>
      <c r="G53" s="4"/>
      <c r="J53" s="7"/>
      <c r="K53" s="4"/>
      <c r="L53" s="4"/>
      <c r="M53" s="4"/>
      <c r="N53" s="4"/>
    </row>
    <row r="54" spans="1:14" ht="21" customHeight="1" x14ac:dyDescent="0.25">
      <c r="C54" s="7"/>
      <c r="D54" s="4"/>
      <c r="E54" s="4"/>
      <c r="F54" s="4"/>
      <c r="G54" s="4"/>
      <c r="J54" s="7"/>
      <c r="K54" s="4"/>
      <c r="L54" s="4"/>
      <c r="M54" s="4"/>
      <c r="N54" s="4"/>
    </row>
    <row r="55" spans="1:14" ht="21" customHeight="1" x14ac:dyDescent="0.25">
      <c r="C55" s="7"/>
      <c r="D55" s="4"/>
      <c r="E55" s="4"/>
      <c r="F55" s="4"/>
      <c r="G55" s="4"/>
      <c r="J55" s="7"/>
      <c r="K55" s="4"/>
      <c r="L55" s="4"/>
      <c r="M55" s="4"/>
      <c r="N55" s="4"/>
    </row>
    <row r="56" spans="1:14" ht="21" customHeight="1" x14ac:dyDescent="0.25">
      <c r="C56" s="7"/>
      <c r="D56" s="4"/>
      <c r="E56" s="4"/>
      <c r="F56" s="4"/>
      <c r="G56" s="4"/>
      <c r="J56" s="7"/>
      <c r="K56" s="4"/>
      <c r="L56" s="4"/>
      <c r="M56" s="4"/>
      <c r="N56" s="4"/>
    </row>
    <row r="57" spans="1:14" ht="21" customHeight="1" x14ac:dyDescent="0.25">
      <c r="C57" s="7"/>
      <c r="D57" s="4"/>
      <c r="E57" s="4"/>
      <c r="F57" s="4"/>
      <c r="G57" s="4"/>
      <c r="J57" s="7"/>
      <c r="K57" s="4"/>
      <c r="L57" s="4"/>
      <c r="M57" s="4"/>
      <c r="N57" s="4"/>
    </row>
    <row r="58" spans="1:14" ht="21" customHeight="1" x14ac:dyDescent="0.25">
      <c r="C58" s="7"/>
      <c r="D58" s="4"/>
      <c r="E58" s="4"/>
      <c r="F58" s="4"/>
      <c r="G58" s="4"/>
      <c r="J58" s="7"/>
      <c r="K58" s="4"/>
      <c r="L58" s="4"/>
      <c r="M58" s="4"/>
      <c r="N58" s="4"/>
    </row>
  </sheetData>
  <mergeCells count="21">
    <mergeCell ref="A49:C49"/>
    <mergeCell ref="D49:G49"/>
    <mergeCell ref="H49:I49"/>
    <mergeCell ref="K49:M49"/>
    <mergeCell ref="A4:E4"/>
    <mergeCell ref="A47:C47"/>
    <mergeCell ref="D47:G47"/>
    <mergeCell ref="H47:J47"/>
    <mergeCell ref="K47:N47"/>
    <mergeCell ref="A48:C48"/>
    <mergeCell ref="D48:G48"/>
    <mergeCell ref="H48:I48"/>
    <mergeCell ref="K48:M48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N46"/>
  <sheetViews>
    <sheetView tabSelected="1" view="pageBreakPreview" topLeftCell="G22" zoomScale="115" zoomScaleNormal="145" zoomScaleSheetLayoutView="115" zoomScalePageLayoutView="85" workbookViewId="0">
      <selection activeCell="H35" sqref="H35:J35"/>
    </sheetView>
  </sheetViews>
  <sheetFormatPr defaultColWidth="9.140625" defaultRowHeight="21" customHeight="1" x14ac:dyDescent="0.25"/>
  <cols>
    <col min="1" max="1" width="5.28515625" style="1" customWidth="1"/>
    <col min="2" max="2" width="6.7109375" style="1" customWidth="1"/>
    <col min="3" max="3" width="39.42578125" style="5" customWidth="1"/>
    <col min="4" max="4" width="3.140625" style="1" bestFit="1" customWidth="1"/>
    <col min="5" max="5" width="8.85546875" style="1" customWidth="1"/>
    <col min="6" max="6" width="16.140625" style="1" customWidth="1"/>
    <col min="7" max="7" width="18.85546875" style="1" customWidth="1"/>
    <col min="8" max="8" width="6.7109375" style="1" customWidth="1"/>
    <col min="9" max="9" width="7.28515625" style="1" customWidth="1"/>
    <col min="10" max="10" width="40.7109375" style="5" customWidth="1"/>
    <col min="11" max="11" width="3.140625" style="1" bestFit="1" customWidth="1"/>
    <col min="12" max="12" width="8.7109375" style="1" customWidth="1"/>
    <col min="13" max="13" width="14.42578125" style="1" customWidth="1"/>
    <col min="14" max="14" width="17.42578125" style="1" customWidth="1"/>
    <col min="15" max="16" width="9.140625" style="1" customWidth="1"/>
    <col min="17" max="16384" width="9.140625" style="1"/>
  </cols>
  <sheetData>
    <row r="1" spans="1:14" ht="36" x14ac:dyDescent="0.25">
      <c r="A1" s="52" t="s">
        <v>6</v>
      </c>
      <c r="B1" s="52"/>
      <c r="C1" s="52"/>
      <c r="D1" s="52"/>
      <c r="E1" s="52"/>
      <c r="F1" s="52"/>
      <c r="G1" s="52"/>
      <c r="H1" s="52" t="s">
        <v>6</v>
      </c>
      <c r="I1" s="52"/>
      <c r="J1" s="52"/>
      <c r="K1" s="52"/>
      <c r="L1" s="52"/>
      <c r="M1" s="52"/>
      <c r="N1" s="52"/>
    </row>
    <row r="2" spans="1:14" ht="21" customHeight="1" x14ac:dyDescent="0.25">
      <c r="A2" s="53" t="s">
        <v>7</v>
      </c>
      <c r="B2" s="53"/>
      <c r="C2" s="53"/>
      <c r="D2" s="53"/>
      <c r="E2" s="53"/>
      <c r="F2" s="53"/>
      <c r="G2" s="53"/>
      <c r="H2" s="53" t="s">
        <v>7</v>
      </c>
      <c r="I2" s="53"/>
      <c r="J2" s="53"/>
      <c r="K2" s="53"/>
      <c r="L2" s="53"/>
      <c r="M2" s="53"/>
      <c r="N2" s="53"/>
    </row>
    <row r="3" spans="1:14" ht="25.5" customHeight="1" x14ac:dyDescent="0.25">
      <c r="A3" s="57" t="s">
        <v>8</v>
      </c>
      <c r="B3" s="57"/>
      <c r="C3" s="18" t="s">
        <v>262</v>
      </c>
      <c r="D3" s="58" t="s">
        <v>4</v>
      </c>
      <c r="E3" s="58"/>
      <c r="F3" s="17" t="s">
        <v>3</v>
      </c>
      <c r="G3" s="3">
        <v>45596</v>
      </c>
      <c r="H3" s="57" t="s">
        <v>8</v>
      </c>
      <c r="I3" s="57"/>
      <c r="J3" s="18" t="s">
        <v>262</v>
      </c>
      <c r="K3" s="62" t="s">
        <v>5</v>
      </c>
      <c r="L3" s="62"/>
      <c r="M3" s="17" t="s">
        <v>3</v>
      </c>
      <c r="N3" s="3">
        <v>45596</v>
      </c>
    </row>
    <row r="4" spans="1:14" s="11" customFormat="1" ht="21" customHeight="1" x14ac:dyDescent="0.25">
      <c r="A4" s="56" t="s">
        <v>12</v>
      </c>
      <c r="B4" s="56"/>
      <c r="C4" s="56"/>
      <c r="D4" s="56"/>
      <c r="E4" s="56"/>
      <c r="F4" s="12">
        <f>'OCT (30)'!D49</f>
        <v>205115</v>
      </c>
      <c r="G4" s="8" t="s">
        <v>2</v>
      </c>
      <c r="H4" s="10"/>
      <c r="I4" s="10"/>
      <c r="J4" s="6" t="s">
        <v>102</v>
      </c>
      <c r="K4" s="9" t="s">
        <v>0</v>
      </c>
      <c r="L4" s="10"/>
      <c r="M4" s="10">
        <v>2015</v>
      </c>
      <c r="N4" s="8" t="s">
        <v>2</v>
      </c>
    </row>
    <row r="5" spans="1:14" s="11" customFormat="1" ht="21" customHeight="1" x14ac:dyDescent="0.25">
      <c r="A5" s="8"/>
      <c r="B5" s="8"/>
      <c r="C5" s="31" t="s">
        <v>14</v>
      </c>
      <c r="D5" s="9" t="s">
        <v>1</v>
      </c>
      <c r="E5" s="8"/>
      <c r="F5" s="10">
        <v>13630</v>
      </c>
      <c r="G5" s="10">
        <f>F4</f>
        <v>205115</v>
      </c>
      <c r="H5" s="8"/>
      <c r="I5" s="8"/>
      <c r="J5" s="31" t="s">
        <v>54</v>
      </c>
      <c r="K5" s="9" t="s">
        <v>0</v>
      </c>
      <c r="L5" s="8"/>
      <c r="M5" s="10">
        <v>1350</v>
      </c>
      <c r="N5" s="10">
        <f>M4</f>
        <v>2015</v>
      </c>
    </row>
    <row r="6" spans="1:14" s="11" customFormat="1" ht="21" customHeight="1" x14ac:dyDescent="0.25">
      <c r="A6" s="8"/>
      <c r="B6" s="8"/>
      <c r="C6" s="31" t="s">
        <v>16</v>
      </c>
      <c r="D6" s="9" t="s">
        <v>1</v>
      </c>
      <c r="E6" s="8"/>
      <c r="F6" s="10">
        <v>60</v>
      </c>
      <c r="G6" s="10">
        <f>G5+F5</f>
        <v>218745</v>
      </c>
      <c r="H6" s="8"/>
      <c r="I6" s="8"/>
      <c r="J6" s="31" t="s">
        <v>100</v>
      </c>
      <c r="K6" s="9" t="s">
        <v>0</v>
      </c>
      <c r="L6" s="8"/>
      <c r="M6" s="10">
        <v>650</v>
      </c>
      <c r="N6" s="10">
        <f t="shared" ref="N6" si="0">N5+M5</f>
        <v>3365</v>
      </c>
    </row>
    <row r="7" spans="1:14" s="11" customFormat="1" ht="21" customHeight="1" x14ac:dyDescent="0.25">
      <c r="A7" s="8"/>
      <c r="B7" s="8"/>
      <c r="C7" s="31" t="s">
        <v>15</v>
      </c>
      <c r="D7" s="9" t="s">
        <v>1</v>
      </c>
      <c r="E7" s="8"/>
      <c r="F7" s="10">
        <v>70</v>
      </c>
      <c r="G7" s="10">
        <f t="shared" ref="G7:G33" si="1">G6+F6</f>
        <v>218805</v>
      </c>
      <c r="H7" s="8"/>
      <c r="I7" s="8"/>
      <c r="J7" s="6" t="s">
        <v>572</v>
      </c>
      <c r="K7" s="9" t="s">
        <v>0</v>
      </c>
      <c r="L7" s="8"/>
      <c r="M7" s="10">
        <v>1950</v>
      </c>
      <c r="N7" s="10">
        <f>N6+M6</f>
        <v>4015</v>
      </c>
    </row>
    <row r="8" spans="1:14" s="11" customFormat="1" ht="21" customHeight="1" x14ac:dyDescent="0.25">
      <c r="A8" s="8"/>
      <c r="B8" s="8"/>
      <c r="C8" s="6" t="s">
        <v>567</v>
      </c>
      <c r="D8" s="9" t="s">
        <v>1</v>
      </c>
      <c r="E8" s="8"/>
      <c r="F8" s="10">
        <v>20000</v>
      </c>
      <c r="G8" s="10">
        <f t="shared" si="1"/>
        <v>218875</v>
      </c>
      <c r="H8" s="8"/>
      <c r="I8" s="8">
        <v>672</v>
      </c>
      <c r="J8" s="6" t="s">
        <v>576</v>
      </c>
      <c r="K8" s="9" t="s">
        <v>0</v>
      </c>
      <c r="L8" s="8">
        <v>443</v>
      </c>
      <c r="M8" s="10">
        <v>18810</v>
      </c>
      <c r="N8" s="10">
        <f t="shared" ref="N8:N34" si="2">N7+M7</f>
        <v>5965</v>
      </c>
    </row>
    <row r="9" spans="1:14" s="11" customFormat="1" ht="21" customHeight="1" x14ac:dyDescent="0.25">
      <c r="A9" s="8"/>
      <c r="B9" s="8"/>
      <c r="C9" s="6" t="s">
        <v>568</v>
      </c>
      <c r="D9" s="9" t="s">
        <v>1</v>
      </c>
      <c r="E9" s="8"/>
      <c r="F9" s="10">
        <v>2000</v>
      </c>
      <c r="G9" s="10">
        <f t="shared" si="1"/>
        <v>238875</v>
      </c>
      <c r="H9" s="8"/>
      <c r="I9" s="8">
        <v>673</v>
      </c>
      <c r="J9" s="6" t="s">
        <v>49</v>
      </c>
      <c r="K9" s="9" t="s">
        <v>0</v>
      </c>
      <c r="L9" s="8">
        <v>440</v>
      </c>
      <c r="M9" s="10">
        <v>34990</v>
      </c>
      <c r="N9" s="10">
        <f t="shared" si="2"/>
        <v>24775</v>
      </c>
    </row>
    <row r="10" spans="1:14" s="11" customFormat="1" ht="21" customHeight="1" x14ac:dyDescent="0.25">
      <c r="A10" s="8"/>
      <c r="B10" s="8"/>
      <c r="C10" s="6" t="s">
        <v>39</v>
      </c>
      <c r="D10" s="9" t="s">
        <v>1</v>
      </c>
      <c r="E10" s="8"/>
      <c r="F10" s="10">
        <v>37880</v>
      </c>
      <c r="G10" s="10">
        <f t="shared" si="1"/>
        <v>240875</v>
      </c>
      <c r="H10" s="8"/>
      <c r="I10" s="8">
        <v>674</v>
      </c>
      <c r="J10" s="6" t="s">
        <v>320</v>
      </c>
      <c r="K10" s="9" t="s">
        <v>0</v>
      </c>
      <c r="L10" s="8">
        <v>444</v>
      </c>
      <c r="M10" s="10">
        <v>40120</v>
      </c>
      <c r="N10" s="10">
        <f t="shared" si="2"/>
        <v>59765</v>
      </c>
    </row>
    <row r="11" spans="1:14" s="11" customFormat="1" ht="21" customHeight="1" x14ac:dyDescent="0.25">
      <c r="A11" s="8"/>
      <c r="B11" s="8"/>
      <c r="C11" s="6" t="s">
        <v>191</v>
      </c>
      <c r="D11" s="9" t="s">
        <v>1</v>
      </c>
      <c r="E11" s="8"/>
      <c r="F11" s="10">
        <v>10000</v>
      </c>
      <c r="G11" s="10">
        <f t="shared" si="1"/>
        <v>278755</v>
      </c>
      <c r="H11" s="8"/>
      <c r="I11" s="8">
        <v>675</v>
      </c>
      <c r="J11" s="6" t="s">
        <v>245</v>
      </c>
      <c r="K11" s="9" t="s">
        <v>0</v>
      </c>
      <c r="L11" s="8">
        <v>445</v>
      </c>
      <c r="M11" s="10">
        <v>30660</v>
      </c>
      <c r="N11" s="10">
        <f t="shared" si="2"/>
        <v>99885</v>
      </c>
    </row>
    <row r="12" spans="1:14" s="11" customFormat="1" ht="21" customHeight="1" x14ac:dyDescent="0.25">
      <c r="A12" s="8"/>
      <c r="B12" s="8"/>
      <c r="C12" s="6" t="s">
        <v>320</v>
      </c>
      <c r="D12" s="9" t="s">
        <v>1</v>
      </c>
      <c r="E12" s="8"/>
      <c r="F12" s="10">
        <v>30000</v>
      </c>
      <c r="G12" s="10">
        <f t="shared" si="1"/>
        <v>288755</v>
      </c>
      <c r="H12" s="8"/>
      <c r="I12" s="8">
        <v>676</v>
      </c>
      <c r="J12" s="6" t="s">
        <v>541</v>
      </c>
      <c r="K12" s="9" t="s">
        <v>0</v>
      </c>
      <c r="L12" s="8">
        <v>442</v>
      </c>
      <c r="M12" s="10">
        <v>15390</v>
      </c>
      <c r="N12" s="10">
        <f t="shared" si="2"/>
        <v>130545</v>
      </c>
    </row>
    <row r="13" spans="1:14" s="11" customFormat="1" ht="21" customHeight="1" x14ac:dyDescent="0.25">
      <c r="A13" s="8"/>
      <c r="B13" s="8"/>
      <c r="C13" s="6" t="s">
        <v>85</v>
      </c>
      <c r="D13" s="9" t="s">
        <v>1</v>
      </c>
      <c r="E13" s="8"/>
      <c r="F13" s="10">
        <v>130000</v>
      </c>
      <c r="G13" s="10">
        <f t="shared" si="1"/>
        <v>318755</v>
      </c>
      <c r="H13" s="8"/>
      <c r="I13" s="8">
        <v>677</v>
      </c>
      <c r="J13" s="6" t="s">
        <v>271</v>
      </c>
      <c r="K13" s="9" t="s">
        <v>0</v>
      </c>
      <c r="L13" s="8">
        <v>446</v>
      </c>
      <c r="M13" s="10">
        <v>66080</v>
      </c>
      <c r="N13" s="10">
        <f t="shared" si="2"/>
        <v>145935</v>
      </c>
    </row>
    <row r="14" spans="1:14" s="11" customFormat="1" ht="21" customHeight="1" x14ac:dyDescent="0.25">
      <c r="A14" s="8"/>
      <c r="B14" s="8"/>
      <c r="C14" s="6" t="s">
        <v>392</v>
      </c>
      <c r="D14" s="9" t="s">
        <v>1</v>
      </c>
      <c r="E14" s="8"/>
      <c r="F14" s="10">
        <v>1620</v>
      </c>
      <c r="G14" s="10">
        <f t="shared" si="1"/>
        <v>448755</v>
      </c>
      <c r="H14" s="8"/>
      <c r="I14" s="8">
        <v>678</v>
      </c>
      <c r="J14" s="6" t="s">
        <v>111</v>
      </c>
      <c r="K14" s="9" t="s">
        <v>0</v>
      </c>
      <c r="L14" s="8">
        <v>651</v>
      </c>
      <c r="M14" s="10">
        <v>7060</v>
      </c>
      <c r="N14" s="10">
        <f t="shared" si="2"/>
        <v>212015</v>
      </c>
    </row>
    <row r="15" spans="1:14" s="11" customFormat="1" ht="21" customHeight="1" x14ac:dyDescent="0.25">
      <c r="A15" s="10"/>
      <c r="B15" s="10"/>
      <c r="C15" s="6" t="s">
        <v>281</v>
      </c>
      <c r="D15" s="9" t="s">
        <v>1</v>
      </c>
      <c r="E15" s="8"/>
      <c r="F15" s="10">
        <v>2270</v>
      </c>
      <c r="G15" s="10">
        <f t="shared" si="1"/>
        <v>450375</v>
      </c>
      <c r="H15" s="10"/>
      <c r="I15" s="8">
        <v>679</v>
      </c>
      <c r="J15" s="6" t="s">
        <v>110</v>
      </c>
      <c r="K15" s="9" t="s">
        <v>0</v>
      </c>
      <c r="L15" s="8">
        <v>652</v>
      </c>
      <c r="M15" s="10">
        <v>8130</v>
      </c>
      <c r="N15" s="10">
        <f t="shared" si="2"/>
        <v>219075</v>
      </c>
    </row>
    <row r="16" spans="1:14" s="11" customFormat="1" ht="21" customHeight="1" x14ac:dyDescent="0.25">
      <c r="A16" s="10"/>
      <c r="B16" s="10"/>
      <c r="C16" s="6" t="s">
        <v>49</v>
      </c>
      <c r="D16" s="9" t="s">
        <v>1</v>
      </c>
      <c r="E16" s="8"/>
      <c r="F16" s="10">
        <v>20000</v>
      </c>
      <c r="G16" s="10">
        <f t="shared" si="1"/>
        <v>452645</v>
      </c>
      <c r="H16" s="10"/>
      <c r="I16" s="8">
        <v>680</v>
      </c>
      <c r="J16" s="6" t="s">
        <v>402</v>
      </c>
      <c r="K16" s="9" t="s">
        <v>0</v>
      </c>
      <c r="L16" s="8">
        <v>661</v>
      </c>
      <c r="M16" s="10">
        <v>4110</v>
      </c>
      <c r="N16" s="10">
        <f t="shared" si="2"/>
        <v>227205</v>
      </c>
    </row>
    <row r="17" spans="1:14" s="11" customFormat="1" ht="21" customHeight="1" x14ac:dyDescent="0.25">
      <c r="A17" s="10"/>
      <c r="B17" s="10"/>
      <c r="C17" s="6" t="s">
        <v>328</v>
      </c>
      <c r="D17" s="9" t="s">
        <v>1</v>
      </c>
      <c r="E17" s="8"/>
      <c r="F17" s="10">
        <v>15000</v>
      </c>
      <c r="G17" s="10">
        <f t="shared" si="1"/>
        <v>472645</v>
      </c>
      <c r="H17" s="10"/>
      <c r="I17" s="8">
        <v>681</v>
      </c>
      <c r="J17" s="6" t="s">
        <v>112</v>
      </c>
      <c r="K17" s="9" t="s">
        <v>0</v>
      </c>
      <c r="L17" s="8">
        <v>658</v>
      </c>
      <c r="M17" s="10">
        <v>5000</v>
      </c>
      <c r="N17" s="10">
        <f t="shared" si="2"/>
        <v>231315</v>
      </c>
    </row>
    <row r="18" spans="1:14" s="11" customFormat="1" ht="21" customHeight="1" x14ac:dyDescent="0.25">
      <c r="A18" s="10"/>
      <c r="B18" s="10"/>
      <c r="C18" s="6" t="s">
        <v>274</v>
      </c>
      <c r="D18" s="9" t="s">
        <v>1</v>
      </c>
      <c r="E18" s="8"/>
      <c r="F18" s="10">
        <v>7500</v>
      </c>
      <c r="G18" s="10">
        <f t="shared" si="1"/>
        <v>487645</v>
      </c>
      <c r="H18" s="10"/>
      <c r="I18" s="8">
        <v>682</v>
      </c>
      <c r="J18" s="6" t="s">
        <v>19</v>
      </c>
      <c r="K18" s="9" t="s">
        <v>0</v>
      </c>
      <c r="L18" s="8">
        <v>449</v>
      </c>
      <c r="M18" s="10">
        <v>7310</v>
      </c>
      <c r="N18" s="10">
        <f t="shared" si="2"/>
        <v>236315</v>
      </c>
    </row>
    <row r="19" spans="1:14" s="11" customFormat="1" ht="21" customHeight="1" x14ac:dyDescent="0.25">
      <c r="A19" s="10"/>
      <c r="B19" s="10"/>
      <c r="C19" s="6" t="s">
        <v>106</v>
      </c>
      <c r="D19" s="9" t="s">
        <v>1</v>
      </c>
      <c r="E19" s="8"/>
      <c r="F19" s="10">
        <v>8000</v>
      </c>
      <c r="G19" s="10">
        <f t="shared" si="1"/>
        <v>495145</v>
      </c>
      <c r="H19" s="10"/>
      <c r="I19" s="8">
        <v>683</v>
      </c>
      <c r="J19" s="6" t="s">
        <v>87</v>
      </c>
      <c r="K19" s="9" t="s">
        <v>0</v>
      </c>
      <c r="L19" s="8">
        <v>447</v>
      </c>
      <c r="M19" s="10">
        <v>10710</v>
      </c>
      <c r="N19" s="10">
        <f t="shared" si="2"/>
        <v>243625</v>
      </c>
    </row>
    <row r="20" spans="1:14" s="11" customFormat="1" ht="21" customHeight="1" x14ac:dyDescent="0.25">
      <c r="A20" s="10"/>
      <c r="B20" s="10"/>
      <c r="C20" s="6" t="s">
        <v>501</v>
      </c>
      <c r="D20" s="9" t="s">
        <v>1</v>
      </c>
      <c r="E20" s="8"/>
      <c r="F20" s="10">
        <v>3840</v>
      </c>
      <c r="G20" s="10">
        <f t="shared" si="1"/>
        <v>503145</v>
      </c>
      <c r="H20" s="10"/>
      <c r="I20" s="8">
        <v>684</v>
      </c>
      <c r="J20" s="6" t="s">
        <v>573</v>
      </c>
      <c r="K20" s="9" t="s">
        <v>0</v>
      </c>
      <c r="L20" s="8">
        <v>660</v>
      </c>
      <c r="M20" s="10">
        <v>500</v>
      </c>
      <c r="N20" s="10">
        <f t="shared" si="2"/>
        <v>254335</v>
      </c>
    </row>
    <row r="21" spans="1:14" s="11" customFormat="1" ht="21" customHeight="1" x14ac:dyDescent="0.25">
      <c r="A21" s="10"/>
      <c r="B21" s="10"/>
      <c r="C21" s="6" t="s">
        <v>385</v>
      </c>
      <c r="D21" s="9" t="s">
        <v>1</v>
      </c>
      <c r="E21" s="8"/>
      <c r="F21" s="10">
        <v>2780</v>
      </c>
      <c r="G21" s="10">
        <f t="shared" si="1"/>
        <v>506985</v>
      </c>
      <c r="H21" s="10"/>
      <c r="I21" s="8">
        <v>685</v>
      </c>
      <c r="J21" s="6" t="s">
        <v>171</v>
      </c>
      <c r="K21" s="9" t="s">
        <v>0</v>
      </c>
      <c r="L21" s="8">
        <v>656</v>
      </c>
      <c r="M21" s="10">
        <v>2960</v>
      </c>
      <c r="N21" s="10">
        <f t="shared" si="2"/>
        <v>254835</v>
      </c>
    </row>
    <row r="22" spans="1:14" s="11" customFormat="1" ht="21" customHeight="1" x14ac:dyDescent="0.25">
      <c r="A22" s="10"/>
      <c r="B22" s="10"/>
      <c r="C22" s="6" t="s">
        <v>569</v>
      </c>
      <c r="D22" s="9" t="s">
        <v>1</v>
      </c>
      <c r="E22" s="8"/>
      <c r="F22" s="10">
        <v>3120</v>
      </c>
      <c r="G22" s="10">
        <f t="shared" si="1"/>
        <v>509765</v>
      </c>
      <c r="H22" s="10"/>
      <c r="I22" s="8">
        <v>686</v>
      </c>
      <c r="J22" s="6" t="s">
        <v>83</v>
      </c>
      <c r="K22" s="9" t="s">
        <v>0</v>
      </c>
      <c r="L22" s="8">
        <v>653</v>
      </c>
      <c r="M22" s="10">
        <v>9630</v>
      </c>
      <c r="N22" s="10">
        <f t="shared" si="2"/>
        <v>257795</v>
      </c>
    </row>
    <row r="23" spans="1:14" s="11" customFormat="1" ht="21" customHeight="1" x14ac:dyDescent="0.25">
      <c r="A23" s="10"/>
      <c r="B23" s="10"/>
      <c r="C23" s="6" t="s">
        <v>276</v>
      </c>
      <c r="D23" s="9" t="s">
        <v>1</v>
      </c>
      <c r="E23" s="8"/>
      <c r="F23" s="10">
        <v>4410</v>
      </c>
      <c r="G23" s="10">
        <f t="shared" si="1"/>
        <v>512885</v>
      </c>
      <c r="H23" s="10"/>
      <c r="I23" s="8">
        <v>687</v>
      </c>
      <c r="J23" s="6" t="s">
        <v>372</v>
      </c>
      <c r="K23" s="9" t="s">
        <v>0</v>
      </c>
      <c r="L23" s="8">
        <v>655</v>
      </c>
      <c r="M23" s="10">
        <v>2780</v>
      </c>
      <c r="N23" s="10">
        <f t="shared" si="2"/>
        <v>267425</v>
      </c>
    </row>
    <row r="24" spans="1:14" s="11" customFormat="1" ht="21" customHeight="1" x14ac:dyDescent="0.25">
      <c r="A24" s="10"/>
      <c r="B24" s="10"/>
      <c r="C24" s="6" t="s">
        <v>334</v>
      </c>
      <c r="D24" s="9" t="s">
        <v>1</v>
      </c>
      <c r="E24" s="8"/>
      <c r="F24" s="10">
        <v>3150</v>
      </c>
      <c r="G24" s="10">
        <f t="shared" si="1"/>
        <v>517295</v>
      </c>
      <c r="H24" s="10"/>
      <c r="I24" s="8">
        <v>688</v>
      </c>
      <c r="J24" s="6" t="s">
        <v>574</v>
      </c>
      <c r="K24" s="9" t="s">
        <v>0</v>
      </c>
      <c r="L24" s="8">
        <v>654</v>
      </c>
      <c r="M24" s="10">
        <v>810</v>
      </c>
      <c r="N24" s="10">
        <f t="shared" si="2"/>
        <v>270205</v>
      </c>
    </row>
    <row r="25" spans="1:14" s="11" customFormat="1" ht="21" customHeight="1" x14ac:dyDescent="0.25">
      <c r="A25" s="10"/>
      <c r="B25" s="10"/>
      <c r="C25" s="6" t="s">
        <v>477</v>
      </c>
      <c r="D25" s="9" t="s">
        <v>1</v>
      </c>
      <c r="E25" s="8"/>
      <c r="F25" s="10">
        <v>5540</v>
      </c>
      <c r="G25" s="10">
        <f t="shared" si="1"/>
        <v>520445</v>
      </c>
      <c r="H25" s="10"/>
      <c r="I25" s="8">
        <v>689</v>
      </c>
      <c r="J25" s="6" t="s">
        <v>501</v>
      </c>
      <c r="K25" s="9" t="s">
        <v>0</v>
      </c>
      <c r="L25" s="8">
        <v>448</v>
      </c>
      <c r="M25" s="10">
        <v>14610</v>
      </c>
      <c r="N25" s="10">
        <f t="shared" si="2"/>
        <v>271015</v>
      </c>
    </row>
    <row r="26" spans="1:14" s="11" customFormat="1" ht="21" customHeight="1" x14ac:dyDescent="0.25">
      <c r="A26" s="10"/>
      <c r="B26" s="10"/>
      <c r="C26" s="6" t="s">
        <v>19</v>
      </c>
      <c r="D26" s="9" t="s">
        <v>1</v>
      </c>
      <c r="E26" s="8"/>
      <c r="F26" s="10">
        <v>21760</v>
      </c>
      <c r="G26" s="10">
        <f t="shared" si="1"/>
        <v>525985</v>
      </c>
      <c r="H26" s="10"/>
      <c r="I26" s="8">
        <v>690</v>
      </c>
      <c r="J26" s="6" t="s">
        <v>290</v>
      </c>
      <c r="K26" s="9" t="s">
        <v>0</v>
      </c>
      <c r="L26" s="8">
        <v>441</v>
      </c>
      <c r="M26" s="10">
        <v>10830</v>
      </c>
      <c r="N26" s="10">
        <f t="shared" si="2"/>
        <v>285625</v>
      </c>
    </row>
    <row r="27" spans="1:14" s="11" customFormat="1" ht="21" customHeight="1" x14ac:dyDescent="0.25">
      <c r="A27" s="10"/>
      <c r="B27" s="10"/>
      <c r="C27" s="6" t="s">
        <v>87</v>
      </c>
      <c r="D27" s="9" t="s">
        <v>1</v>
      </c>
      <c r="E27" s="8"/>
      <c r="F27" s="10">
        <v>2560</v>
      </c>
      <c r="G27" s="10">
        <f t="shared" si="1"/>
        <v>547745</v>
      </c>
      <c r="H27" s="10"/>
      <c r="I27" s="8">
        <v>691</v>
      </c>
      <c r="J27" s="6" t="s">
        <v>334</v>
      </c>
      <c r="K27" s="9" t="s">
        <v>0</v>
      </c>
      <c r="L27" s="8">
        <v>659</v>
      </c>
      <c r="M27" s="10">
        <v>4350</v>
      </c>
      <c r="N27" s="10">
        <f t="shared" si="2"/>
        <v>296455</v>
      </c>
    </row>
    <row r="28" spans="1:14" s="11" customFormat="1" ht="21" customHeight="1" x14ac:dyDescent="0.25">
      <c r="A28" s="10"/>
      <c r="B28" s="10"/>
      <c r="C28" s="6" t="s">
        <v>570</v>
      </c>
      <c r="D28" s="9" t="s">
        <v>1</v>
      </c>
      <c r="E28" s="8"/>
      <c r="F28" s="10">
        <v>1000</v>
      </c>
      <c r="G28" s="10">
        <f t="shared" si="1"/>
        <v>550305</v>
      </c>
      <c r="H28" s="10"/>
      <c r="I28" s="8">
        <v>692</v>
      </c>
      <c r="J28" s="6" t="s">
        <v>385</v>
      </c>
      <c r="K28" s="9" t="s">
        <v>0</v>
      </c>
      <c r="L28" s="8">
        <v>657</v>
      </c>
      <c r="M28" s="10">
        <v>6130</v>
      </c>
      <c r="N28" s="10">
        <f t="shared" si="2"/>
        <v>300805</v>
      </c>
    </row>
    <row r="29" spans="1:14" s="11" customFormat="1" ht="21" customHeight="1" x14ac:dyDescent="0.25">
      <c r="A29" s="10"/>
      <c r="B29" s="10"/>
      <c r="C29" s="6" t="s">
        <v>571</v>
      </c>
      <c r="D29" s="9" t="s">
        <v>1</v>
      </c>
      <c r="E29" s="8"/>
      <c r="F29" s="10">
        <v>6300</v>
      </c>
      <c r="G29" s="10">
        <f t="shared" si="1"/>
        <v>551305</v>
      </c>
      <c r="H29" s="10"/>
      <c r="I29" s="8">
        <v>693</v>
      </c>
      <c r="J29" s="6" t="s">
        <v>388</v>
      </c>
      <c r="K29" s="9" t="s">
        <v>0</v>
      </c>
      <c r="L29" s="8">
        <v>450</v>
      </c>
      <c r="M29" s="10">
        <v>2270</v>
      </c>
      <c r="N29" s="10">
        <f t="shared" si="2"/>
        <v>306935</v>
      </c>
    </row>
    <row r="30" spans="1:14" s="11" customFormat="1" ht="21" customHeight="1" x14ac:dyDescent="0.25">
      <c r="A30" s="10"/>
      <c r="B30" s="10"/>
      <c r="C30" s="6" t="s">
        <v>104</v>
      </c>
      <c r="D30" s="9" t="s">
        <v>1</v>
      </c>
      <c r="E30" s="8"/>
      <c r="F30" s="10">
        <v>4640</v>
      </c>
      <c r="G30" s="10">
        <f t="shared" si="1"/>
        <v>557605</v>
      </c>
      <c r="H30" s="10"/>
      <c r="I30" s="8">
        <v>694</v>
      </c>
      <c r="J30" s="6" t="s">
        <v>39</v>
      </c>
      <c r="K30" s="9" t="s">
        <v>0</v>
      </c>
      <c r="L30" s="8">
        <v>438</v>
      </c>
      <c r="M30" s="10">
        <v>37880</v>
      </c>
      <c r="N30" s="10">
        <f t="shared" si="2"/>
        <v>309205</v>
      </c>
    </row>
    <row r="31" spans="1:14" s="11" customFormat="1" ht="21" customHeight="1" x14ac:dyDescent="0.25">
      <c r="A31" s="10"/>
      <c r="B31" s="10"/>
      <c r="C31" s="6" t="s">
        <v>442</v>
      </c>
      <c r="D31" s="9" t="s">
        <v>1</v>
      </c>
      <c r="E31" s="8"/>
      <c r="F31" s="10">
        <v>1510</v>
      </c>
      <c r="G31" s="10">
        <f t="shared" si="1"/>
        <v>562245</v>
      </c>
      <c r="H31" s="10"/>
      <c r="I31" s="10"/>
      <c r="J31" s="10"/>
      <c r="K31" s="9" t="s">
        <v>0</v>
      </c>
      <c r="L31" s="8"/>
      <c r="M31" s="10"/>
      <c r="N31" s="10">
        <f t="shared" si="2"/>
        <v>347085</v>
      </c>
    </row>
    <row r="32" spans="1:14" s="11" customFormat="1" ht="21" customHeight="1" x14ac:dyDescent="0.25">
      <c r="A32" s="10"/>
      <c r="B32" s="10"/>
      <c r="C32" s="6" t="s">
        <v>83</v>
      </c>
      <c r="D32" s="9" t="s">
        <v>1</v>
      </c>
      <c r="E32" s="8"/>
      <c r="F32" s="10">
        <v>2590</v>
      </c>
      <c r="G32" s="10">
        <f t="shared" si="1"/>
        <v>563755</v>
      </c>
      <c r="H32" s="10"/>
      <c r="I32" s="10"/>
      <c r="J32" s="31" t="s">
        <v>578</v>
      </c>
      <c r="K32" s="9" t="s">
        <v>0</v>
      </c>
      <c r="L32" s="8"/>
      <c r="M32" s="10"/>
      <c r="N32" s="10">
        <f t="shared" si="2"/>
        <v>347085</v>
      </c>
    </row>
    <row r="33" spans="1:14" s="11" customFormat="1" ht="21" customHeight="1" x14ac:dyDescent="0.25">
      <c r="A33" s="10"/>
      <c r="B33" s="10"/>
      <c r="C33" s="42" t="s">
        <v>577</v>
      </c>
      <c r="D33" s="9" t="s">
        <v>1</v>
      </c>
      <c r="E33" s="8"/>
      <c r="F33" s="10"/>
      <c r="G33" s="10">
        <f t="shared" si="1"/>
        <v>566345</v>
      </c>
      <c r="H33" s="10"/>
      <c r="I33" s="10"/>
      <c r="J33" s="36" t="s">
        <v>579</v>
      </c>
      <c r="K33" s="9" t="s">
        <v>0</v>
      </c>
      <c r="L33" s="8"/>
      <c r="M33" s="10"/>
      <c r="N33" s="10">
        <f t="shared" si="2"/>
        <v>347085</v>
      </c>
    </row>
    <row r="34" spans="1:14" s="11" customFormat="1" ht="21" customHeight="1" x14ac:dyDescent="0.25">
      <c r="A34" s="10"/>
      <c r="B34" s="10"/>
      <c r="C34" s="42" t="s">
        <v>575</v>
      </c>
      <c r="D34" s="9" t="s">
        <v>1</v>
      </c>
      <c r="E34" s="10"/>
      <c r="F34" s="10"/>
      <c r="G34" s="10">
        <f>G33+F33</f>
        <v>566345</v>
      </c>
      <c r="H34" s="10"/>
      <c r="I34" s="10"/>
      <c r="J34" s="31" t="s">
        <v>580</v>
      </c>
      <c r="K34" s="9" t="s">
        <v>0</v>
      </c>
      <c r="L34" s="10"/>
      <c r="M34" s="10"/>
      <c r="N34" s="10">
        <f t="shared" si="2"/>
        <v>347085</v>
      </c>
    </row>
    <row r="35" spans="1:14" ht="31.5" customHeight="1" x14ac:dyDescent="0.25">
      <c r="A35" s="46" t="s">
        <v>9</v>
      </c>
      <c r="B35" s="46"/>
      <c r="C35" s="47"/>
      <c r="D35" s="54">
        <f>G34+F34</f>
        <v>566345</v>
      </c>
      <c r="E35" s="54"/>
      <c r="F35" s="54"/>
      <c r="G35" s="54"/>
      <c r="H35" s="48" t="s">
        <v>10</v>
      </c>
      <c r="I35" s="48"/>
      <c r="J35" s="49"/>
      <c r="K35" s="54">
        <f>N34+M34</f>
        <v>347085</v>
      </c>
      <c r="L35" s="54"/>
      <c r="M35" s="54"/>
      <c r="N35" s="54"/>
    </row>
    <row r="36" spans="1:14" ht="30.75" customHeight="1" x14ac:dyDescent="0.25">
      <c r="A36" s="48" t="s">
        <v>10</v>
      </c>
      <c r="B36" s="48"/>
      <c r="C36" s="49"/>
      <c r="D36" s="55">
        <f>K35</f>
        <v>347085</v>
      </c>
      <c r="E36" s="55"/>
      <c r="F36" s="55"/>
      <c r="G36" s="55"/>
      <c r="H36" s="59"/>
      <c r="I36" s="59"/>
      <c r="J36" s="13"/>
      <c r="K36" s="61"/>
      <c r="L36" s="61"/>
      <c r="M36" s="61"/>
      <c r="N36" s="14"/>
    </row>
    <row r="37" spans="1:14" ht="36.75" customHeight="1" x14ac:dyDescent="0.25">
      <c r="A37" s="50" t="s">
        <v>11</v>
      </c>
      <c r="B37" s="50"/>
      <c r="C37" s="51"/>
      <c r="D37" s="63">
        <f>D35-D36</f>
        <v>219260</v>
      </c>
      <c r="E37" s="63"/>
      <c r="F37" s="63"/>
      <c r="G37" s="63"/>
      <c r="H37" s="59"/>
      <c r="I37" s="59"/>
      <c r="J37" s="13"/>
      <c r="K37" s="60"/>
      <c r="L37" s="60"/>
      <c r="M37" s="60"/>
      <c r="N37" s="15"/>
    </row>
    <row r="38" spans="1:14" ht="21" customHeight="1" x14ac:dyDescent="0.25">
      <c r="C38" s="7"/>
      <c r="D38" s="4"/>
      <c r="E38" s="4"/>
      <c r="F38" s="4"/>
      <c r="G38" s="4"/>
      <c r="J38" s="7"/>
      <c r="K38" s="4"/>
      <c r="L38" s="4"/>
      <c r="M38" s="4"/>
      <c r="N38" s="4"/>
    </row>
    <row r="39" spans="1:14" ht="21" customHeight="1" x14ac:dyDescent="0.25">
      <c r="C39" s="7"/>
      <c r="D39" s="4"/>
      <c r="E39" s="4"/>
      <c r="F39" s="4"/>
      <c r="G39" s="4"/>
      <c r="J39" s="7"/>
      <c r="K39" s="4"/>
      <c r="L39" s="4"/>
      <c r="M39" s="4"/>
      <c r="N39" s="4"/>
    </row>
    <row r="40" spans="1:14" ht="21" customHeight="1" x14ac:dyDescent="0.25">
      <c r="C40" s="7"/>
      <c r="D40" s="4"/>
      <c r="E40" s="4"/>
      <c r="F40" s="4"/>
      <c r="G40" s="4"/>
      <c r="J40" s="7"/>
      <c r="K40" s="4"/>
      <c r="L40" s="4"/>
      <c r="M40" s="4"/>
      <c r="N40" s="4"/>
    </row>
    <row r="41" spans="1:14" ht="21" customHeight="1" x14ac:dyDescent="0.25">
      <c r="C41" s="7"/>
      <c r="D41" s="4"/>
      <c r="E41" s="4"/>
      <c r="F41" s="4"/>
      <c r="G41" s="4"/>
      <c r="J41" s="7"/>
      <c r="K41" s="4"/>
      <c r="L41" s="4"/>
      <c r="M41" s="4"/>
      <c r="N41" s="4"/>
    </row>
    <row r="42" spans="1:14" ht="21" customHeight="1" x14ac:dyDescent="0.25">
      <c r="C42" s="7"/>
      <c r="D42" s="4"/>
      <c r="E42" s="4"/>
      <c r="F42" s="4"/>
      <c r="G42" s="4"/>
      <c r="J42" s="7"/>
      <c r="K42" s="4"/>
      <c r="L42" s="4"/>
      <c r="M42" s="4"/>
      <c r="N42" s="4"/>
    </row>
    <row r="43" spans="1:14" ht="21" customHeight="1" x14ac:dyDescent="0.25">
      <c r="C43" s="7"/>
      <c r="D43" s="4"/>
      <c r="E43" s="4"/>
      <c r="F43" s="4"/>
      <c r="G43" s="4"/>
      <c r="J43" s="7"/>
      <c r="K43" s="4"/>
      <c r="L43" s="4"/>
      <c r="M43" s="4"/>
      <c r="N43" s="4"/>
    </row>
    <row r="44" spans="1:14" ht="21" customHeight="1" x14ac:dyDescent="0.25">
      <c r="C44" s="7"/>
      <c r="D44" s="4"/>
      <c r="E44" s="4"/>
      <c r="F44" s="4"/>
      <c r="G44" s="4"/>
      <c r="J44" s="7"/>
      <c r="K44" s="4"/>
      <c r="L44" s="4"/>
      <c r="M44" s="4"/>
      <c r="N44" s="4"/>
    </row>
    <row r="45" spans="1:14" ht="21" customHeight="1" x14ac:dyDescent="0.25">
      <c r="C45" s="7"/>
      <c r="D45" s="4"/>
      <c r="E45" s="4"/>
      <c r="F45" s="4"/>
      <c r="G45" s="4"/>
      <c r="J45" s="7"/>
      <c r="K45" s="4"/>
      <c r="L45" s="4"/>
      <c r="M45" s="4"/>
      <c r="N45" s="4"/>
    </row>
    <row r="46" spans="1:14" ht="21" customHeight="1" x14ac:dyDescent="0.25">
      <c r="C46" s="7"/>
      <c r="D46" s="4"/>
      <c r="E46" s="4"/>
      <c r="F46" s="4"/>
      <c r="G46" s="4"/>
      <c r="J46" s="7"/>
      <c r="K46" s="4"/>
      <c r="L46" s="4"/>
      <c r="M46" s="4"/>
      <c r="N46" s="4"/>
    </row>
  </sheetData>
  <mergeCells count="21">
    <mergeCell ref="A37:C37"/>
    <mergeCell ref="D37:G37"/>
    <mergeCell ref="H37:I37"/>
    <mergeCell ref="K37:M37"/>
    <mergeCell ref="A4:E4"/>
    <mergeCell ref="A35:C35"/>
    <mergeCell ref="D35:G35"/>
    <mergeCell ref="H35:J35"/>
    <mergeCell ref="K35:N35"/>
    <mergeCell ref="A36:C36"/>
    <mergeCell ref="D36:G36"/>
    <mergeCell ref="H36:I36"/>
    <mergeCell ref="K36:M36"/>
    <mergeCell ref="A1:G1"/>
    <mergeCell ref="H1:N1"/>
    <mergeCell ref="A2:G2"/>
    <mergeCell ref="H2:N2"/>
    <mergeCell ref="A3:B3"/>
    <mergeCell ref="D3:E3"/>
    <mergeCell ref="H3:I3"/>
    <mergeCell ref="K3:L3"/>
  </mergeCells>
  <pageMargins left="0.33088235294117646" right="0" top="0.25" bottom="0" header="0.05" footer="0.0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OCT (01)</vt:lpstr>
      <vt:lpstr>OCT (2)</vt:lpstr>
      <vt:lpstr>OCT (3)</vt:lpstr>
      <vt:lpstr>OCT (4)</vt:lpstr>
      <vt:lpstr>OCT (5)</vt:lpstr>
      <vt:lpstr>OCT (6)</vt:lpstr>
      <vt:lpstr>OCT (7)</vt:lpstr>
      <vt:lpstr>OCT (8)</vt:lpstr>
      <vt:lpstr>OCT (9)</vt:lpstr>
      <vt:lpstr>OCT (10)</vt:lpstr>
      <vt:lpstr>OCT (11)</vt:lpstr>
      <vt:lpstr>OCT (12)</vt:lpstr>
      <vt:lpstr>OCT (13)</vt:lpstr>
      <vt:lpstr>OCT (14)</vt:lpstr>
      <vt:lpstr>OCT (15)</vt:lpstr>
      <vt:lpstr>OCT (16)</vt:lpstr>
      <vt:lpstr>OCT (17)</vt:lpstr>
      <vt:lpstr>OCT (18)</vt:lpstr>
      <vt:lpstr>OCT (19)</vt:lpstr>
      <vt:lpstr>OCT (20)</vt:lpstr>
      <vt:lpstr>OCT (21)</vt:lpstr>
      <vt:lpstr>OCT (22)</vt:lpstr>
      <vt:lpstr>OCT (23)</vt:lpstr>
      <vt:lpstr>OCT (24)</vt:lpstr>
      <vt:lpstr>OCT (25)</vt:lpstr>
      <vt:lpstr>OCT (26)</vt:lpstr>
      <vt:lpstr>OCT (27)</vt:lpstr>
      <vt:lpstr>OCT (28)</vt:lpstr>
      <vt:lpstr>OCT (29)</vt:lpstr>
      <vt:lpstr>OCT (30)</vt:lpstr>
      <vt:lpstr>OCT (31)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2024-10-25T05:30:50Z</cp:lastPrinted>
  <dcterms:created xsi:type="dcterms:W3CDTF">2021-02-09T04:13:43Z</dcterms:created>
  <dcterms:modified xsi:type="dcterms:W3CDTF">2024-10-31T08:02:21Z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2024-08-01T06:42:21Z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3fefb21b-e473-4607-af76-0fb7cbe228ad</vt:lpwstr>
  </property>
  <property fmtid="{D5CDD505-2E9C-101B-9397-08002B2CF9AE}" pid="8" name="MSIP_Label_defa4170-0d19-0005-0004-bc88714345d2_ContentBits">
    <vt:lpwstr>0</vt:lpwstr>
  </property>
</Properties>
</file>