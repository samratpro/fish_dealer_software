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NETWORK-COMPUTE\Ms Osman Fish\"/>
    </mc:Choice>
  </mc:AlternateContent>
  <xr:revisionPtr revIDLastSave="0" documentId="13_ncr:1_{BAE8617F-AA08-40B2-B716-2EE81CBE26D4}" xr6:coauthVersionLast="47" xr6:coauthVersionMax="47" xr10:uidLastSave="{00000000-0000-0000-0000-000000000000}"/>
  <bookViews>
    <workbookView xWindow="690" yWindow="0" windowWidth="18930" windowHeight="15480" tabRatio="761" firstSheet="2" activeTab="11" xr2:uid="{00000000-000D-0000-FFFF-FFFF00000000}"/>
  </bookViews>
  <sheets>
    <sheet name="OCT (01)" sheetId="22" r:id="rId1"/>
    <sheet name="OCT (2)" sheetId="24" r:id="rId2"/>
    <sheet name="OCT (3)" sheetId="25" r:id="rId3"/>
    <sheet name="OCT (4)" sheetId="26" r:id="rId4"/>
    <sheet name="OCT (5)" sheetId="27" r:id="rId5"/>
    <sheet name="OCT (6)" sheetId="28" r:id="rId6"/>
    <sheet name="OCT (7)" sheetId="29" r:id="rId7"/>
    <sheet name="OCT (8)" sheetId="30" r:id="rId8"/>
    <sheet name="OCT (9)" sheetId="31" r:id="rId9"/>
    <sheet name="OCT (10)" sheetId="32" r:id="rId10"/>
    <sheet name="OCT (11)" sheetId="33" r:id="rId11"/>
    <sheet name="OCT (12)" sheetId="34" r:id="rId12"/>
    <sheet name="OCT (13)" sheetId="35" r:id="rId13"/>
    <sheet name="OCT (14)" sheetId="36" r:id="rId14"/>
    <sheet name="OCT (15)" sheetId="37" r:id="rId15"/>
    <sheet name="OCT (16)" sheetId="38" r:id="rId16"/>
    <sheet name="OCT (17)" sheetId="39" r:id="rId17"/>
    <sheet name="OCT (18)" sheetId="40" r:id="rId18"/>
    <sheet name="OCT (19)" sheetId="41" r:id="rId19"/>
    <sheet name="OCT (20)" sheetId="42" r:id="rId20"/>
    <sheet name="OCT (21)" sheetId="43" r:id="rId21"/>
    <sheet name="OCT (22)" sheetId="44" r:id="rId22"/>
    <sheet name="OCT (23)" sheetId="45" r:id="rId23"/>
    <sheet name="OCT (24)" sheetId="46" r:id="rId24"/>
    <sheet name="OCT (25)" sheetId="47" r:id="rId25"/>
    <sheet name="OCT (26)" sheetId="48" r:id="rId26"/>
    <sheet name="OCT (27)" sheetId="49" r:id="rId27"/>
    <sheet name="OCT (28)" sheetId="50" r:id="rId28"/>
    <sheet name="OCT (29)" sheetId="51" r:id="rId29"/>
    <sheet name="OCT (30)" sheetId="52" r:id="rId30"/>
    <sheet name="OCT (31)" sheetId="53" r:id="rId3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34" l="1"/>
  <c r="G35" i="34"/>
  <c r="G35" i="27"/>
  <c r="G36" i="27" s="1"/>
  <c r="G37" i="27" s="1"/>
  <c r="G38" i="27" s="1"/>
  <c r="N34" i="26"/>
  <c r="N35" i="26"/>
  <c r="N36" i="26"/>
  <c r="N37" i="26" s="1"/>
  <c r="N38" i="26" s="1"/>
  <c r="N39" i="26" s="1"/>
  <c r="N40" i="26" s="1"/>
  <c r="N41" i="26" s="1"/>
  <c r="G34" i="26"/>
  <c r="G35" i="26" s="1"/>
  <c r="G36" i="26" s="1"/>
  <c r="G37" i="26" s="1"/>
  <c r="G38" i="26" s="1"/>
  <c r="G39" i="26" s="1"/>
  <c r="G40" i="26" s="1"/>
  <c r="G41" i="26" s="1"/>
  <c r="N35" i="25"/>
  <c r="N36" i="25" s="1"/>
  <c r="N37" i="25" s="1"/>
  <c r="G35" i="25"/>
  <c r="G36" i="25" s="1"/>
  <c r="G37" i="25" s="1"/>
  <c r="K43" i="24"/>
  <c r="N39" i="24"/>
  <c r="N40" i="24" s="1"/>
  <c r="N41" i="24" s="1"/>
  <c r="N42" i="24" s="1"/>
  <c r="D43" i="24"/>
  <c r="N35" i="24"/>
  <c r="N36" i="24" s="1"/>
  <c r="N37" i="24" s="1"/>
  <c r="N38" i="24" s="1"/>
  <c r="N45" i="22"/>
  <c r="N26" i="22"/>
  <c r="N27" i="22"/>
  <c r="N28" i="22"/>
  <c r="N29" i="22"/>
  <c r="N30" i="22" s="1"/>
  <c r="N31" i="22" s="1"/>
  <c r="N32" i="22" s="1"/>
  <c r="N33" i="22" s="1"/>
  <c r="N34" i="22" s="1"/>
  <c r="N35" i="22" s="1"/>
  <c r="N36" i="22" s="1"/>
  <c r="N37" i="22" s="1"/>
  <c r="N38" i="22" s="1"/>
  <c r="G26" i="22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N5" i="53"/>
  <c r="N6" i="53" s="1"/>
  <c r="N7" i="53" s="1"/>
  <c r="N8" i="53" s="1"/>
  <c r="N9" i="53" s="1"/>
  <c r="N10" i="53" s="1"/>
  <c r="N11" i="53" s="1"/>
  <c r="N12" i="53" s="1"/>
  <c r="N13" i="53" s="1"/>
  <c r="N14" i="53" s="1"/>
  <c r="N15" i="53" s="1"/>
  <c r="N16" i="53" s="1"/>
  <c r="N17" i="53" s="1"/>
  <c r="N18" i="53" s="1"/>
  <c r="N19" i="53" s="1"/>
  <c r="N20" i="53" s="1"/>
  <c r="N21" i="53" s="1"/>
  <c r="N22" i="53" s="1"/>
  <c r="N23" i="53" s="1"/>
  <c r="N24" i="53" s="1"/>
  <c r="N25" i="53" s="1"/>
  <c r="N26" i="53" s="1"/>
  <c r="N27" i="53" s="1"/>
  <c r="N28" i="53" s="1"/>
  <c r="N29" i="53" s="1"/>
  <c r="N30" i="53" s="1"/>
  <c r="N31" i="53" s="1"/>
  <c r="N32" i="53" s="1"/>
  <c r="N33" i="53" s="1"/>
  <c r="N34" i="53" s="1"/>
  <c r="K35" i="53" s="1"/>
  <c r="D36" i="53" s="1"/>
  <c r="N5" i="52"/>
  <c r="N6" i="52" s="1"/>
  <c r="N7" i="52" s="1"/>
  <c r="N8" i="52" s="1"/>
  <c r="N9" i="52" s="1"/>
  <c r="N10" i="52" s="1"/>
  <c r="N11" i="52" s="1"/>
  <c r="N12" i="52" s="1"/>
  <c r="N13" i="52" s="1"/>
  <c r="N14" i="52" s="1"/>
  <c r="N15" i="52" s="1"/>
  <c r="N16" i="52" s="1"/>
  <c r="N17" i="52" s="1"/>
  <c r="N18" i="52" s="1"/>
  <c r="N19" i="52" s="1"/>
  <c r="N20" i="52" s="1"/>
  <c r="N21" i="52" s="1"/>
  <c r="N22" i="52" s="1"/>
  <c r="N23" i="52" s="1"/>
  <c r="N24" i="52" s="1"/>
  <c r="N25" i="52" s="1"/>
  <c r="N26" i="52" s="1"/>
  <c r="N27" i="52" s="1"/>
  <c r="N28" i="52" s="1"/>
  <c r="N29" i="52" s="1"/>
  <c r="N30" i="52" s="1"/>
  <c r="N31" i="52" s="1"/>
  <c r="N32" i="52" s="1"/>
  <c r="N33" i="52" s="1"/>
  <c r="N34" i="52" s="1"/>
  <c r="K35" i="52" s="1"/>
  <c r="D36" i="52" s="1"/>
  <c r="N5" i="51"/>
  <c r="N6" i="51" s="1"/>
  <c r="N7" i="51" s="1"/>
  <c r="N8" i="51" s="1"/>
  <c r="N9" i="51" s="1"/>
  <c r="N10" i="51" s="1"/>
  <c r="N11" i="51" s="1"/>
  <c r="N12" i="51" s="1"/>
  <c r="N13" i="51" s="1"/>
  <c r="N14" i="51" s="1"/>
  <c r="N15" i="51" s="1"/>
  <c r="N16" i="51" s="1"/>
  <c r="N17" i="51" s="1"/>
  <c r="N18" i="51" s="1"/>
  <c r="N19" i="51" s="1"/>
  <c r="N20" i="51" s="1"/>
  <c r="N21" i="51" s="1"/>
  <c r="N22" i="51" s="1"/>
  <c r="N23" i="51" s="1"/>
  <c r="N24" i="51" s="1"/>
  <c r="N25" i="51" s="1"/>
  <c r="N26" i="51" s="1"/>
  <c r="N27" i="51" s="1"/>
  <c r="N28" i="51" s="1"/>
  <c r="N29" i="51" s="1"/>
  <c r="N30" i="51" s="1"/>
  <c r="N31" i="51" s="1"/>
  <c r="N32" i="51" s="1"/>
  <c r="N33" i="51" s="1"/>
  <c r="N34" i="51" s="1"/>
  <c r="K35" i="51" s="1"/>
  <c r="D36" i="51" s="1"/>
  <c r="N5" i="50"/>
  <c r="N6" i="50" s="1"/>
  <c r="N7" i="50" s="1"/>
  <c r="N8" i="50" s="1"/>
  <c r="N9" i="50" s="1"/>
  <c r="N10" i="50" s="1"/>
  <c r="N11" i="50" s="1"/>
  <c r="N12" i="50" s="1"/>
  <c r="N13" i="50" s="1"/>
  <c r="N14" i="50" s="1"/>
  <c r="N15" i="50" s="1"/>
  <c r="N16" i="50" s="1"/>
  <c r="N17" i="50" s="1"/>
  <c r="N18" i="50" s="1"/>
  <c r="N19" i="50" s="1"/>
  <c r="N20" i="50" s="1"/>
  <c r="N21" i="50" s="1"/>
  <c r="N22" i="50" s="1"/>
  <c r="N23" i="50" s="1"/>
  <c r="N24" i="50" s="1"/>
  <c r="N25" i="50" s="1"/>
  <c r="N26" i="50" s="1"/>
  <c r="N27" i="50" s="1"/>
  <c r="N28" i="50" s="1"/>
  <c r="N29" i="50" s="1"/>
  <c r="N30" i="50" s="1"/>
  <c r="N31" i="50" s="1"/>
  <c r="N32" i="50" s="1"/>
  <c r="N33" i="50" s="1"/>
  <c r="N34" i="50" s="1"/>
  <c r="K35" i="50" s="1"/>
  <c r="D36" i="50" s="1"/>
  <c r="N5" i="49"/>
  <c r="N6" i="49" s="1"/>
  <c r="N7" i="49" s="1"/>
  <c r="N8" i="49" s="1"/>
  <c r="N9" i="49" s="1"/>
  <c r="N10" i="49" s="1"/>
  <c r="N11" i="49" s="1"/>
  <c r="N12" i="49" s="1"/>
  <c r="N13" i="49" s="1"/>
  <c r="N14" i="49" s="1"/>
  <c r="N15" i="49" s="1"/>
  <c r="N16" i="49" s="1"/>
  <c r="N17" i="49" s="1"/>
  <c r="N18" i="49" s="1"/>
  <c r="N19" i="49" s="1"/>
  <c r="N20" i="49" s="1"/>
  <c r="N21" i="49" s="1"/>
  <c r="N22" i="49" s="1"/>
  <c r="N23" i="49" s="1"/>
  <c r="N24" i="49" s="1"/>
  <c r="N25" i="49" s="1"/>
  <c r="N26" i="49" s="1"/>
  <c r="N27" i="49" s="1"/>
  <c r="N28" i="49" s="1"/>
  <c r="N29" i="49" s="1"/>
  <c r="N30" i="49" s="1"/>
  <c r="N31" i="49" s="1"/>
  <c r="N32" i="49" s="1"/>
  <c r="N33" i="49" s="1"/>
  <c r="N34" i="49" s="1"/>
  <c r="K35" i="49" s="1"/>
  <c r="D36" i="49" s="1"/>
  <c r="N5" i="48"/>
  <c r="N6" i="48" s="1"/>
  <c r="N7" i="48" s="1"/>
  <c r="N8" i="48" s="1"/>
  <c r="N9" i="48" s="1"/>
  <c r="N10" i="48" s="1"/>
  <c r="N11" i="48" s="1"/>
  <c r="N12" i="48" s="1"/>
  <c r="N13" i="48" s="1"/>
  <c r="N14" i="48" s="1"/>
  <c r="N15" i="48" s="1"/>
  <c r="N16" i="48" s="1"/>
  <c r="N17" i="48" s="1"/>
  <c r="N18" i="48" s="1"/>
  <c r="N19" i="48" s="1"/>
  <c r="N20" i="48" s="1"/>
  <c r="N21" i="48" s="1"/>
  <c r="N22" i="48" s="1"/>
  <c r="N23" i="48" s="1"/>
  <c r="N24" i="48" s="1"/>
  <c r="N25" i="48" s="1"/>
  <c r="N26" i="48" s="1"/>
  <c r="N27" i="48" s="1"/>
  <c r="N28" i="48" s="1"/>
  <c r="N29" i="48" s="1"/>
  <c r="N30" i="48" s="1"/>
  <c r="N31" i="48" s="1"/>
  <c r="N32" i="48" s="1"/>
  <c r="N33" i="48" s="1"/>
  <c r="N34" i="48" s="1"/>
  <c r="K35" i="48" s="1"/>
  <c r="D36" i="48" s="1"/>
  <c r="N5" i="47"/>
  <c r="N6" i="47" s="1"/>
  <c r="N7" i="47" s="1"/>
  <c r="N8" i="47" s="1"/>
  <c r="N9" i="47" s="1"/>
  <c r="N10" i="47" s="1"/>
  <c r="N11" i="47" s="1"/>
  <c r="N12" i="47" s="1"/>
  <c r="N13" i="47" s="1"/>
  <c r="N14" i="47" s="1"/>
  <c r="N15" i="47" s="1"/>
  <c r="N16" i="47" s="1"/>
  <c r="N17" i="47" s="1"/>
  <c r="N18" i="47" s="1"/>
  <c r="N19" i="47" s="1"/>
  <c r="N20" i="47" s="1"/>
  <c r="N21" i="47" s="1"/>
  <c r="N22" i="47" s="1"/>
  <c r="N23" i="47" s="1"/>
  <c r="N24" i="47" s="1"/>
  <c r="N25" i="47" s="1"/>
  <c r="N26" i="47" s="1"/>
  <c r="N27" i="47" s="1"/>
  <c r="N28" i="47" s="1"/>
  <c r="N29" i="47" s="1"/>
  <c r="N30" i="47" s="1"/>
  <c r="N31" i="47" s="1"/>
  <c r="N32" i="47" s="1"/>
  <c r="N33" i="47" s="1"/>
  <c r="N34" i="47" s="1"/>
  <c r="K35" i="47" s="1"/>
  <c r="D36" i="47" s="1"/>
  <c r="N5" i="46"/>
  <c r="N6" i="46" s="1"/>
  <c r="N7" i="46" s="1"/>
  <c r="N8" i="46" s="1"/>
  <c r="N9" i="46" s="1"/>
  <c r="N10" i="46" s="1"/>
  <c r="N11" i="46" s="1"/>
  <c r="N12" i="46" s="1"/>
  <c r="N13" i="46" s="1"/>
  <c r="N14" i="46" s="1"/>
  <c r="N15" i="46" s="1"/>
  <c r="N16" i="46" s="1"/>
  <c r="N17" i="46" s="1"/>
  <c r="N18" i="46" s="1"/>
  <c r="N19" i="46" s="1"/>
  <c r="N20" i="46" s="1"/>
  <c r="N21" i="46" s="1"/>
  <c r="N22" i="46" s="1"/>
  <c r="N23" i="46" s="1"/>
  <c r="N24" i="46" s="1"/>
  <c r="N25" i="46" s="1"/>
  <c r="N26" i="46" s="1"/>
  <c r="N27" i="46" s="1"/>
  <c r="N28" i="46" s="1"/>
  <c r="N29" i="46" s="1"/>
  <c r="N30" i="46" s="1"/>
  <c r="N31" i="46" s="1"/>
  <c r="N32" i="46" s="1"/>
  <c r="N33" i="46" s="1"/>
  <c r="N34" i="46" s="1"/>
  <c r="K35" i="46" s="1"/>
  <c r="D36" i="46" s="1"/>
  <c r="N5" i="45"/>
  <c r="N6" i="45" s="1"/>
  <c r="N7" i="45" s="1"/>
  <c r="N8" i="45" s="1"/>
  <c r="N9" i="45" s="1"/>
  <c r="N10" i="45" s="1"/>
  <c r="N11" i="45" s="1"/>
  <c r="N12" i="45" s="1"/>
  <c r="N13" i="45" s="1"/>
  <c r="N14" i="45" s="1"/>
  <c r="N15" i="45" s="1"/>
  <c r="N16" i="45" s="1"/>
  <c r="N17" i="45" s="1"/>
  <c r="N18" i="45" s="1"/>
  <c r="N19" i="45" s="1"/>
  <c r="N20" i="45" s="1"/>
  <c r="N21" i="45" s="1"/>
  <c r="N22" i="45" s="1"/>
  <c r="N23" i="45" s="1"/>
  <c r="N24" i="45" s="1"/>
  <c r="N25" i="45" s="1"/>
  <c r="N26" i="45" s="1"/>
  <c r="N27" i="45" s="1"/>
  <c r="N28" i="45" s="1"/>
  <c r="N29" i="45" s="1"/>
  <c r="N30" i="45" s="1"/>
  <c r="N31" i="45" s="1"/>
  <c r="N32" i="45" s="1"/>
  <c r="N33" i="45" s="1"/>
  <c r="N34" i="45" s="1"/>
  <c r="K35" i="45" s="1"/>
  <c r="D36" i="45" s="1"/>
  <c r="N5" i="44"/>
  <c r="N6" i="44" s="1"/>
  <c r="N7" i="44" s="1"/>
  <c r="N8" i="44" s="1"/>
  <c r="N9" i="44" s="1"/>
  <c r="N10" i="44" s="1"/>
  <c r="N11" i="44" s="1"/>
  <c r="N12" i="44" s="1"/>
  <c r="N13" i="44" s="1"/>
  <c r="N14" i="44" s="1"/>
  <c r="N15" i="44" s="1"/>
  <c r="N16" i="44" s="1"/>
  <c r="N17" i="44" s="1"/>
  <c r="N18" i="44" s="1"/>
  <c r="N19" i="44" s="1"/>
  <c r="N20" i="44" s="1"/>
  <c r="N21" i="44" s="1"/>
  <c r="N22" i="44" s="1"/>
  <c r="N23" i="44" s="1"/>
  <c r="N24" i="44" s="1"/>
  <c r="N25" i="44" s="1"/>
  <c r="N26" i="44" s="1"/>
  <c r="N27" i="44" s="1"/>
  <c r="N28" i="44" s="1"/>
  <c r="N29" i="44" s="1"/>
  <c r="N30" i="44" s="1"/>
  <c r="N31" i="44" s="1"/>
  <c r="N32" i="44" s="1"/>
  <c r="N33" i="44" s="1"/>
  <c r="N34" i="44" s="1"/>
  <c r="K35" i="44" s="1"/>
  <c r="D36" i="44" s="1"/>
  <c r="N5" i="43"/>
  <c r="N6" i="43" s="1"/>
  <c r="N7" i="43" s="1"/>
  <c r="N8" i="43" s="1"/>
  <c r="N9" i="43" s="1"/>
  <c r="N10" i="43" s="1"/>
  <c r="N11" i="43" s="1"/>
  <c r="N12" i="43" s="1"/>
  <c r="N13" i="43" s="1"/>
  <c r="N14" i="43" s="1"/>
  <c r="N15" i="43" s="1"/>
  <c r="N16" i="43" s="1"/>
  <c r="N17" i="43" s="1"/>
  <c r="N18" i="43" s="1"/>
  <c r="N19" i="43" s="1"/>
  <c r="N20" i="43" s="1"/>
  <c r="N21" i="43" s="1"/>
  <c r="N22" i="43" s="1"/>
  <c r="N23" i="43" s="1"/>
  <c r="N24" i="43" s="1"/>
  <c r="N25" i="43" s="1"/>
  <c r="N26" i="43" s="1"/>
  <c r="N27" i="43" s="1"/>
  <c r="N28" i="43" s="1"/>
  <c r="N29" i="43" s="1"/>
  <c r="N30" i="43" s="1"/>
  <c r="N31" i="43" s="1"/>
  <c r="N32" i="43" s="1"/>
  <c r="N33" i="43" s="1"/>
  <c r="N34" i="43" s="1"/>
  <c r="K35" i="43" s="1"/>
  <c r="D36" i="43" s="1"/>
  <c r="N5" i="42"/>
  <c r="N6" i="42" s="1"/>
  <c r="N7" i="42" s="1"/>
  <c r="N8" i="42" s="1"/>
  <c r="N9" i="42" s="1"/>
  <c r="N10" i="42" s="1"/>
  <c r="N11" i="42" s="1"/>
  <c r="N12" i="42" s="1"/>
  <c r="N13" i="42" s="1"/>
  <c r="N14" i="42" s="1"/>
  <c r="N15" i="42" s="1"/>
  <c r="N16" i="42" s="1"/>
  <c r="N17" i="42" s="1"/>
  <c r="N18" i="42" s="1"/>
  <c r="N19" i="42" s="1"/>
  <c r="N20" i="42" s="1"/>
  <c r="N21" i="42" s="1"/>
  <c r="N22" i="42" s="1"/>
  <c r="N23" i="42" s="1"/>
  <c r="N24" i="42" s="1"/>
  <c r="N25" i="42" s="1"/>
  <c r="N26" i="42" s="1"/>
  <c r="N27" i="42" s="1"/>
  <c r="N28" i="42" s="1"/>
  <c r="N29" i="42" s="1"/>
  <c r="N30" i="42" s="1"/>
  <c r="N31" i="42" s="1"/>
  <c r="N32" i="42" s="1"/>
  <c r="N33" i="42" s="1"/>
  <c r="N34" i="42" s="1"/>
  <c r="K35" i="42" s="1"/>
  <c r="D36" i="42" s="1"/>
  <c r="N5" i="41"/>
  <c r="N6" i="41" s="1"/>
  <c r="N7" i="41" s="1"/>
  <c r="N8" i="41" s="1"/>
  <c r="N9" i="41" s="1"/>
  <c r="N10" i="41" s="1"/>
  <c r="N11" i="41" s="1"/>
  <c r="N12" i="41" s="1"/>
  <c r="N13" i="41" s="1"/>
  <c r="N14" i="41" s="1"/>
  <c r="N15" i="41" s="1"/>
  <c r="N16" i="41" s="1"/>
  <c r="N17" i="41" s="1"/>
  <c r="N18" i="41" s="1"/>
  <c r="N19" i="41" s="1"/>
  <c r="N20" i="41" s="1"/>
  <c r="N21" i="41" s="1"/>
  <c r="N22" i="41" s="1"/>
  <c r="N23" i="41" s="1"/>
  <c r="N24" i="41" s="1"/>
  <c r="N25" i="41" s="1"/>
  <c r="N26" i="41" s="1"/>
  <c r="N27" i="41" s="1"/>
  <c r="N28" i="41" s="1"/>
  <c r="N29" i="41" s="1"/>
  <c r="N30" i="41" s="1"/>
  <c r="N31" i="41" s="1"/>
  <c r="N32" i="41" s="1"/>
  <c r="N33" i="41" s="1"/>
  <c r="N34" i="41" s="1"/>
  <c r="K35" i="41" s="1"/>
  <c r="D36" i="41" s="1"/>
  <c r="N5" i="40"/>
  <c r="N6" i="40" s="1"/>
  <c r="N7" i="40" s="1"/>
  <c r="N8" i="40" s="1"/>
  <c r="N9" i="40" s="1"/>
  <c r="N10" i="40" s="1"/>
  <c r="N11" i="40" s="1"/>
  <c r="N12" i="40" s="1"/>
  <c r="N13" i="40" s="1"/>
  <c r="N14" i="40" s="1"/>
  <c r="N15" i="40" s="1"/>
  <c r="N16" i="40" s="1"/>
  <c r="N17" i="40" s="1"/>
  <c r="N18" i="40" s="1"/>
  <c r="N19" i="40" s="1"/>
  <c r="N20" i="40" s="1"/>
  <c r="N21" i="40" s="1"/>
  <c r="N22" i="40" s="1"/>
  <c r="N23" i="40" s="1"/>
  <c r="N24" i="40" s="1"/>
  <c r="N25" i="40" s="1"/>
  <c r="N26" i="40" s="1"/>
  <c r="N27" i="40" s="1"/>
  <c r="N28" i="40" s="1"/>
  <c r="N29" i="40" s="1"/>
  <c r="N30" i="40" s="1"/>
  <c r="N31" i="40" s="1"/>
  <c r="N32" i="40" s="1"/>
  <c r="N33" i="40" s="1"/>
  <c r="N34" i="40" s="1"/>
  <c r="K35" i="40" s="1"/>
  <c r="D36" i="40" s="1"/>
  <c r="N5" i="39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N16" i="39" s="1"/>
  <c r="N17" i="39" s="1"/>
  <c r="N18" i="39" s="1"/>
  <c r="N19" i="39" s="1"/>
  <c r="N20" i="39" s="1"/>
  <c r="N21" i="39" s="1"/>
  <c r="N22" i="39" s="1"/>
  <c r="N23" i="39" s="1"/>
  <c r="N24" i="39" s="1"/>
  <c r="N25" i="39" s="1"/>
  <c r="N26" i="39" s="1"/>
  <c r="N27" i="39" s="1"/>
  <c r="N28" i="39" s="1"/>
  <c r="N29" i="39" s="1"/>
  <c r="N30" i="39" s="1"/>
  <c r="N31" i="39" s="1"/>
  <c r="N32" i="39" s="1"/>
  <c r="N33" i="39" s="1"/>
  <c r="N34" i="39" s="1"/>
  <c r="K35" i="39" s="1"/>
  <c r="D36" i="39" s="1"/>
  <c r="N5" i="38"/>
  <c r="N6" i="38" s="1"/>
  <c r="N7" i="38" s="1"/>
  <c r="N8" i="38" s="1"/>
  <c r="N9" i="38" s="1"/>
  <c r="N10" i="38" s="1"/>
  <c r="N11" i="38" s="1"/>
  <c r="N12" i="38" s="1"/>
  <c r="N13" i="38" s="1"/>
  <c r="N14" i="38" s="1"/>
  <c r="N15" i="38" s="1"/>
  <c r="N16" i="38" s="1"/>
  <c r="N17" i="38" s="1"/>
  <c r="N18" i="38" s="1"/>
  <c r="N19" i="38" s="1"/>
  <c r="N20" i="38" s="1"/>
  <c r="N21" i="38" s="1"/>
  <c r="N22" i="38" s="1"/>
  <c r="N23" i="38" s="1"/>
  <c r="N24" i="38" s="1"/>
  <c r="N25" i="38" s="1"/>
  <c r="N26" i="38" s="1"/>
  <c r="N27" i="38" s="1"/>
  <c r="N28" i="38" s="1"/>
  <c r="N29" i="38" s="1"/>
  <c r="N30" i="38" s="1"/>
  <c r="N31" i="38" s="1"/>
  <c r="N32" i="38" s="1"/>
  <c r="N33" i="38" s="1"/>
  <c r="N34" i="38" s="1"/>
  <c r="K35" i="38" s="1"/>
  <c r="D36" i="38" s="1"/>
  <c r="N5" i="37"/>
  <c r="N6" i="37" s="1"/>
  <c r="N7" i="37" s="1"/>
  <c r="N8" i="37" s="1"/>
  <c r="N9" i="37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21" i="37" s="1"/>
  <c r="N22" i="37" s="1"/>
  <c r="N23" i="37" s="1"/>
  <c r="N24" i="37" s="1"/>
  <c r="N25" i="37" s="1"/>
  <c r="N26" i="37" s="1"/>
  <c r="N27" i="37" s="1"/>
  <c r="N28" i="37" s="1"/>
  <c r="N29" i="37" s="1"/>
  <c r="N30" i="37" s="1"/>
  <c r="N31" i="37" s="1"/>
  <c r="N32" i="37" s="1"/>
  <c r="N33" i="37" s="1"/>
  <c r="N34" i="37" s="1"/>
  <c r="K35" i="37" s="1"/>
  <c r="D36" i="37" s="1"/>
  <c r="N5" i="36"/>
  <c r="N6" i="36" s="1"/>
  <c r="N7" i="36" s="1"/>
  <c r="N8" i="36" s="1"/>
  <c r="N9" i="36" s="1"/>
  <c r="N10" i="36" s="1"/>
  <c r="N11" i="36" s="1"/>
  <c r="N12" i="36" s="1"/>
  <c r="N13" i="36" s="1"/>
  <c r="N14" i="36" s="1"/>
  <c r="N15" i="36" s="1"/>
  <c r="N16" i="36" s="1"/>
  <c r="N17" i="36" s="1"/>
  <c r="N18" i="36" s="1"/>
  <c r="N19" i="36" s="1"/>
  <c r="N20" i="36" s="1"/>
  <c r="N21" i="36" s="1"/>
  <c r="N22" i="36" s="1"/>
  <c r="N23" i="36" s="1"/>
  <c r="N24" i="36" s="1"/>
  <c r="N25" i="36" s="1"/>
  <c r="N26" i="36" s="1"/>
  <c r="N27" i="36" s="1"/>
  <c r="N28" i="36" s="1"/>
  <c r="N29" i="36" s="1"/>
  <c r="N30" i="36" s="1"/>
  <c r="N31" i="36" s="1"/>
  <c r="N32" i="36" s="1"/>
  <c r="N33" i="36" s="1"/>
  <c r="N34" i="36" s="1"/>
  <c r="K35" i="36" s="1"/>
  <c r="D36" i="36" s="1"/>
  <c r="N5" i="35"/>
  <c r="N6" i="35" s="1"/>
  <c r="N7" i="35" s="1"/>
  <c r="N8" i="35" s="1"/>
  <c r="N9" i="35" s="1"/>
  <c r="N10" i="35" s="1"/>
  <c r="N11" i="35" s="1"/>
  <c r="N12" i="35" s="1"/>
  <c r="N13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K35" i="35" s="1"/>
  <c r="D36" i="35" s="1"/>
  <c r="N5" i="34"/>
  <c r="N6" i="34" s="1"/>
  <c r="N7" i="34" s="1"/>
  <c r="N8" i="34" s="1"/>
  <c r="N9" i="34" s="1"/>
  <c r="N10" i="34" s="1"/>
  <c r="N11" i="34" s="1"/>
  <c r="N12" i="34" s="1"/>
  <c r="N13" i="34" s="1"/>
  <c r="N14" i="34" s="1"/>
  <c r="N15" i="34" s="1"/>
  <c r="N16" i="34" s="1"/>
  <c r="N17" i="34" s="1"/>
  <c r="N18" i="34" s="1"/>
  <c r="N19" i="34" s="1"/>
  <c r="N20" i="34" s="1"/>
  <c r="N21" i="34" s="1"/>
  <c r="N22" i="34" s="1"/>
  <c r="N23" i="34" s="1"/>
  <c r="N24" i="34" s="1"/>
  <c r="N25" i="34" s="1"/>
  <c r="N26" i="34" s="1"/>
  <c r="N27" i="34" s="1"/>
  <c r="N28" i="34" s="1"/>
  <c r="N29" i="34" s="1"/>
  <c r="N30" i="34" s="1"/>
  <c r="N31" i="34" s="1"/>
  <c r="N32" i="34" s="1"/>
  <c r="N33" i="34" s="1"/>
  <c r="N34" i="34" s="1"/>
  <c r="K36" i="34" s="1"/>
  <c r="D37" i="34" s="1"/>
  <c r="N5" i="33"/>
  <c r="N6" i="33" s="1"/>
  <c r="N7" i="33" s="1"/>
  <c r="N8" i="33" s="1"/>
  <c r="N9" i="33" s="1"/>
  <c r="N10" i="33" s="1"/>
  <c r="N11" i="33" s="1"/>
  <c r="N12" i="33" s="1"/>
  <c r="N13" i="33" s="1"/>
  <c r="N14" i="33" s="1"/>
  <c r="N15" i="33" s="1"/>
  <c r="N16" i="33" s="1"/>
  <c r="N17" i="33" s="1"/>
  <c r="N18" i="33" s="1"/>
  <c r="N19" i="33" s="1"/>
  <c r="N20" i="33" s="1"/>
  <c r="N21" i="33" s="1"/>
  <c r="N22" i="33" s="1"/>
  <c r="N23" i="33" s="1"/>
  <c r="N24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5" i="32"/>
  <c r="N6" i="32" s="1"/>
  <c r="N7" i="32" s="1"/>
  <c r="N8" i="32" s="1"/>
  <c r="N9" i="32" s="1"/>
  <c r="N10" i="32" s="1"/>
  <c r="N11" i="32" s="1"/>
  <c r="N12" i="32" s="1"/>
  <c r="N13" i="32" s="1"/>
  <c r="N14" i="32" s="1"/>
  <c r="N15" i="32" s="1"/>
  <c r="N16" i="32" s="1"/>
  <c r="N17" i="32" s="1"/>
  <c r="N18" i="32" s="1"/>
  <c r="N19" i="32" s="1"/>
  <c r="N20" i="32" s="1"/>
  <c r="N21" i="32" s="1"/>
  <c r="N22" i="32" s="1"/>
  <c r="N23" i="32" s="1"/>
  <c r="N24" i="32" s="1"/>
  <c r="N25" i="32" s="1"/>
  <c r="N26" i="32" s="1"/>
  <c r="N27" i="32" s="1"/>
  <c r="N28" i="32" s="1"/>
  <c r="N29" i="32" s="1"/>
  <c r="N30" i="32" s="1"/>
  <c r="N31" i="32" s="1"/>
  <c r="N32" i="32" s="1"/>
  <c r="N33" i="32" s="1"/>
  <c r="N34" i="32" s="1"/>
  <c r="N35" i="32" s="1"/>
  <c r="N36" i="32" s="1"/>
  <c r="N37" i="32" s="1"/>
  <c r="N38" i="32" s="1"/>
  <c r="N39" i="32" s="1"/>
  <c r="N40" i="32" s="1"/>
  <c r="N41" i="32" s="1"/>
  <c r="N42" i="32" s="1"/>
  <c r="N43" i="32" s="1"/>
  <c r="N44" i="32" s="1"/>
  <c r="N45" i="32" s="1"/>
  <c r="N46" i="32" s="1"/>
  <c r="N5" i="3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N38" i="31" s="1"/>
  <c r="N39" i="31" s="1"/>
  <c r="N40" i="31" s="1"/>
  <c r="N41" i="31" s="1"/>
  <c r="N5" i="30"/>
  <c r="N6" i="30" s="1"/>
  <c r="N7" i="30" s="1"/>
  <c r="N8" i="30" s="1"/>
  <c r="N9" i="30" s="1"/>
  <c r="N10" i="30" s="1"/>
  <c r="N11" i="30" s="1"/>
  <c r="N12" i="30" s="1"/>
  <c r="N13" i="30" s="1"/>
  <c r="N14" i="30" s="1"/>
  <c r="N15" i="30" s="1"/>
  <c r="N16" i="30" s="1"/>
  <c r="N17" i="30" s="1"/>
  <c r="N18" i="30" s="1"/>
  <c r="N19" i="30" s="1"/>
  <c r="N20" i="30" s="1"/>
  <c r="N21" i="30" s="1"/>
  <c r="N22" i="30" s="1"/>
  <c r="N23" i="30" s="1"/>
  <c r="N24" i="30" s="1"/>
  <c r="N25" i="30" s="1"/>
  <c r="N26" i="30" s="1"/>
  <c r="N27" i="30" s="1"/>
  <c r="N28" i="30" s="1"/>
  <c r="N29" i="30" s="1"/>
  <c r="N30" i="30" s="1"/>
  <c r="N31" i="30" s="1"/>
  <c r="N32" i="30" s="1"/>
  <c r="N33" i="30" s="1"/>
  <c r="N34" i="30" s="1"/>
  <c r="N35" i="30" s="1"/>
  <c r="N36" i="30" s="1"/>
  <c r="N37" i="30" s="1"/>
  <c r="N38" i="30" s="1"/>
  <c r="N39" i="30" s="1"/>
  <c r="N40" i="30" s="1"/>
  <c r="N5" i="29"/>
  <c r="N6" i="29" s="1"/>
  <c r="N7" i="29" s="1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K35" i="29" s="1"/>
  <c r="D36" i="29" s="1"/>
  <c r="N5" i="28"/>
  <c r="N6" i="28" s="1"/>
  <c r="N7" i="28" s="1"/>
  <c r="N8" i="28" s="1"/>
  <c r="N9" i="28" s="1"/>
  <c r="N10" i="28" s="1"/>
  <c r="N11" i="28" s="1"/>
  <c r="N12" i="28" s="1"/>
  <c r="N13" i="28" s="1"/>
  <c r="N14" i="28" s="1"/>
  <c r="N15" i="28" s="1"/>
  <c r="N16" i="28" s="1"/>
  <c r="N17" i="28" s="1"/>
  <c r="N18" i="28" s="1"/>
  <c r="N19" i="28" s="1"/>
  <c r="N20" i="28" s="1"/>
  <c r="N21" i="28" s="1"/>
  <c r="N22" i="28" s="1"/>
  <c r="N23" i="28" s="1"/>
  <c r="N24" i="28" s="1"/>
  <c r="N25" i="28" s="1"/>
  <c r="N26" i="28" s="1"/>
  <c r="N27" i="28" s="1"/>
  <c r="N28" i="28" s="1"/>
  <c r="N29" i="28" s="1"/>
  <c r="N30" i="28" s="1"/>
  <c r="N31" i="28" s="1"/>
  <c r="N32" i="28" s="1"/>
  <c r="N33" i="28" s="1"/>
  <c r="N34" i="28" s="1"/>
  <c r="K35" i="28" s="1"/>
  <c r="D36" i="28" s="1"/>
  <c r="N5" i="27"/>
  <c r="N6" i="27" s="1"/>
  <c r="N7" i="27" s="1"/>
  <c r="N8" i="27" s="1"/>
  <c r="N9" i="27" s="1"/>
  <c r="N10" i="27" s="1"/>
  <c r="N11" i="27" s="1"/>
  <c r="N12" i="27" s="1"/>
  <c r="N13" i="27" s="1"/>
  <c r="N14" i="27" s="1"/>
  <c r="N15" i="27" s="1"/>
  <c r="N16" i="27" s="1"/>
  <c r="N17" i="27" s="1"/>
  <c r="N18" i="27" s="1"/>
  <c r="N19" i="27" s="1"/>
  <c r="N20" i="27" s="1"/>
  <c r="N21" i="27" s="1"/>
  <c r="N22" i="27" s="1"/>
  <c r="N23" i="27" s="1"/>
  <c r="N24" i="27" s="1"/>
  <c r="N25" i="27" s="1"/>
  <c r="N26" i="27" s="1"/>
  <c r="N27" i="27" s="1"/>
  <c r="N28" i="27" s="1"/>
  <c r="N29" i="27" s="1"/>
  <c r="N30" i="27" s="1"/>
  <c r="N31" i="27" s="1"/>
  <c r="N32" i="27" s="1"/>
  <c r="N33" i="27" s="1"/>
  <c r="N34" i="27" s="1"/>
  <c r="K39" i="27" s="1"/>
  <c r="D40" i="27" s="1"/>
  <c r="N5" i="26"/>
  <c r="N6" i="26" s="1"/>
  <c r="N7" i="26" s="1"/>
  <c r="N8" i="26" s="1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5" i="25"/>
  <c r="N6" i="25" s="1"/>
  <c r="N7" i="25" s="1"/>
  <c r="N8" i="25" s="1"/>
  <c r="N9" i="25" s="1"/>
  <c r="N10" i="25" s="1"/>
  <c r="N11" i="25" s="1"/>
  <c r="N12" i="25" s="1"/>
  <c r="N13" i="25" s="1"/>
  <c r="N14" i="25" s="1"/>
  <c r="N15" i="25" s="1"/>
  <c r="N16" i="25" s="1"/>
  <c r="N17" i="25" s="1"/>
  <c r="N18" i="25" s="1"/>
  <c r="N19" i="25" s="1"/>
  <c r="N20" i="25" s="1"/>
  <c r="N21" i="25" s="1"/>
  <c r="N22" i="25" s="1"/>
  <c r="N23" i="25" s="1"/>
  <c r="N24" i="25" s="1"/>
  <c r="N25" i="25" s="1"/>
  <c r="N26" i="25" s="1"/>
  <c r="N27" i="25" s="1"/>
  <c r="N28" i="25" s="1"/>
  <c r="N29" i="25" s="1"/>
  <c r="N30" i="25" s="1"/>
  <c r="N31" i="25" s="1"/>
  <c r="N32" i="25" s="1"/>
  <c r="N33" i="25" s="1"/>
  <c r="N34" i="25" s="1"/>
  <c r="K38" i="25" s="1"/>
  <c r="D39" i="25" s="1"/>
  <c r="N5" i="24"/>
  <c r="N6" i="24" s="1"/>
  <c r="N7" i="24" s="1"/>
  <c r="N8" i="24" s="1"/>
  <c r="N9" i="24" s="1"/>
  <c r="N10" i="24" s="1"/>
  <c r="N11" i="24" s="1"/>
  <c r="N12" i="24" s="1"/>
  <c r="N13" i="24" s="1"/>
  <c r="N14" i="24" s="1"/>
  <c r="N15" i="24" s="1"/>
  <c r="N16" i="24" s="1"/>
  <c r="N17" i="24" s="1"/>
  <c r="N18" i="24" s="1"/>
  <c r="N19" i="24" s="1"/>
  <c r="N20" i="24" s="1"/>
  <c r="N21" i="24" s="1"/>
  <c r="N22" i="24" s="1"/>
  <c r="N23" i="24" s="1"/>
  <c r="N24" i="24" s="1"/>
  <c r="N25" i="24" s="1"/>
  <c r="N26" i="24" s="1"/>
  <c r="N27" i="24" s="1"/>
  <c r="N28" i="24" s="1"/>
  <c r="N29" i="24" s="1"/>
  <c r="N30" i="24" s="1"/>
  <c r="N31" i="24" s="1"/>
  <c r="N32" i="24" s="1"/>
  <c r="N33" i="24" s="1"/>
  <c r="N34" i="24" s="1"/>
  <c r="D44" i="24" s="1"/>
  <c r="N35" i="33" l="1"/>
  <c r="N36" i="33" s="1"/>
  <c r="N37" i="33" s="1"/>
  <c r="K38" i="33" s="1"/>
  <c r="D39" i="33" s="1"/>
  <c r="K47" i="32"/>
  <c r="D48" i="32" s="1"/>
  <c r="N42" i="31"/>
  <c r="K43" i="31" s="1"/>
  <c r="D44" i="31" s="1"/>
  <c r="K41" i="30"/>
  <c r="D42" i="30" s="1"/>
  <c r="N35" i="27"/>
  <c r="N36" i="27" s="1"/>
  <c r="N37" i="27" s="1"/>
  <c r="N38" i="27" s="1"/>
  <c r="K42" i="26"/>
  <c r="D43" i="26" s="1"/>
  <c r="N5" i="22"/>
  <c r="N6" i="22" s="1"/>
  <c r="N7" i="22" s="1"/>
  <c r="N8" i="22" s="1"/>
  <c r="N9" i="22" s="1"/>
  <c r="N10" i="22" s="1"/>
  <c r="N11" i="22" s="1"/>
  <c r="N12" i="22" s="1"/>
  <c r="N13" i="22" s="1"/>
  <c r="N14" i="22" s="1"/>
  <c r="N15" i="22" s="1"/>
  <c r="G5" i="22"/>
  <c r="G6" i="22" s="1"/>
  <c r="G7" i="22" s="1"/>
  <c r="G8" i="22" s="1"/>
  <c r="G9" i="22" s="1"/>
  <c r="G10" i="22" s="1"/>
  <c r="G11" i="22" s="1"/>
  <c r="G12" i="22" s="1"/>
  <c r="G13" i="22" s="1"/>
  <c r="G14" i="22" s="1"/>
  <c r="G15" i="22" s="1"/>
  <c r="N16" i="22" l="1"/>
  <c r="N17" i="22" s="1"/>
  <c r="N18" i="22" s="1"/>
  <c r="N19" i="22" s="1"/>
  <c r="N20" i="22" s="1"/>
  <c r="N21" i="22" s="1"/>
  <c r="N22" i="22" s="1"/>
  <c r="N23" i="22" s="1"/>
  <c r="N24" i="22" s="1"/>
  <c r="N25" i="22" s="1"/>
  <c r="N39" i="22" s="1"/>
  <c r="N40" i="22" s="1"/>
  <c r="N41" i="22" s="1"/>
  <c r="N42" i="22" s="1"/>
  <c r="N43" i="22" s="1"/>
  <c r="N44" i="22" s="1"/>
  <c r="K46" i="22" s="1"/>
  <c r="D47" i="22" s="1"/>
  <c r="G16" i="22"/>
  <c r="G17" i="22" s="1"/>
  <c r="G18" i="22" s="1"/>
  <c r="G19" i="22" s="1"/>
  <c r="G20" i="22" s="1"/>
  <c r="G21" i="22" s="1"/>
  <c r="G22" i="22" s="1"/>
  <c r="G23" i="22" s="1"/>
  <c r="G24" i="22" s="1"/>
  <c r="G25" i="22" s="1"/>
  <c r="G39" i="22" s="1"/>
  <c r="G40" i="22" s="1"/>
  <c r="G41" i="22" s="1"/>
  <c r="G42" i="22" s="1"/>
  <c r="G43" i="22" s="1"/>
  <c r="G44" i="22" s="1"/>
  <c r="D46" i="22" l="1"/>
  <c r="D48" i="22" s="1"/>
  <c r="F4" i="24" s="1"/>
  <c r="G5" i="24" s="1"/>
  <c r="G6" i="24" s="1"/>
  <c r="G7" i="24" s="1"/>
  <c r="G8" i="24" s="1"/>
  <c r="G9" i="24" s="1"/>
  <c r="G10" i="24" s="1"/>
  <c r="G11" i="24" s="1"/>
  <c r="G12" i="24" s="1"/>
  <c r="G13" i="24" s="1"/>
  <c r="G14" i="24" s="1"/>
  <c r="G15" i="24" s="1"/>
  <c r="G16" i="24" s="1"/>
  <c r="G17" i="24" s="1"/>
  <c r="G18" i="24" s="1"/>
  <c r="G19" i="24" s="1"/>
  <c r="G20" i="24" s="1"/>
  <c r="G21" i="24" s="1"/>
  <c r="G22" i="24" s="1"/>
  <c r="G23" i="24" s="1"/>
  <c r="G24" i="24" s="1"/>
  <c r="G25" i="24" s="1"/>
  <c r="G26" i="24" s="1"/>
  <c r="G27" i="24" s="1"/>
  <c r="G28" i="24" s="1"/>
  <c r="G29" i="24" s="1"/>
  <c r="G30" i="24" s="1"/>
  <c r="G31" i="24" s="1"/>
  <c r="G32" i="24" s="1"/>
  <c r="G33" i="24" s="1"/>
  <c r="G34" i="24" s="1"/>
  <c r="G45" i="22"/>
  <c r="D45" i="24" l="1"/>
  <c r="F4" i="25" s="1"/>
  <c r="G5" i="25" s="1"/>
  <c r="G6" i="25" s="1"/>
  <c r="G7" i="25" s="1"/>
  <c r="G8" i="25" s="1"/>
  <c r="G9" i="25" s="1"/>
  <c r="G10" i="25" s="1"/>
  <c r="G11" i="25" s="1"/>
  <c r="G12" i="25" s="1"/>
  <c r="G13" i="25" s="1"/>
  <c r="G14" i="25" s="1"/>
  <c r="G15" i="25" s="1"/>
  <c r="G16" i="25" s="1"/>
  <c r="G17" i="25" s="1"/>
  <c r="G18" i="25" s="1"/>
  <c r="G19" i="25" s="1"/>
  <c r="G20" i="25" s="1"/>
  <c r="G21" i="25" s="1"/>
  <c r="G22" i="25" s="1"/>
  <c r="G23" i="25" s="1"/>
  <c r="G24" i="25" s="1"/>
  <c r="G25" i="25" s="1"/>
  <c r="G26" i="25" s="1"/>
  <c r="G27" i="25" s="1"/>
  <c r="G28" i="25" s="1"/>
  <c r="G29" i="25" s="1"/>
  <c r="G30" i="25" s="1"/>
  <c r="G31" i="25" s="1"/>
  <c r="G32" i="25" s="1"/>
  <c r="G33" i="25" s="1"/>
  <c r="G34" i="25" s="1"/>
  <c r="D38" i="25" s="1"/>
  <c r="D40" i="25" s="1"/>
  <c r="G35" i="24"/>
  <c r="G36" i="24" s="1"/>
  <c r="G37" i="24" s="1"/>
  <c r="G38" i="24" s="1"/>
  <c r="G39" i="24" s="1"/>
  <c r="G40" i="24" s="1"/>
  <c r="G41" i="24" s="1"/>
  <c r="G42" i="24" s="1"/>
  <c r="F4" i="26" l="1"/>
  <c r="G5" i="26" s="1"/>
  <c r="G6" i="26" s="1"/>
  <c r="G7" i="26" s="1"/>
  <c r="G8" i="26" s="1"/>
  <c r="G9" i="26" s="1"/>
  <c r="G10" i="26" s="1"/>
  <c r="G11" i="26" s="1"/>
  <c r="G12" i="26" s="1"/>
  <c r="G13" i="26" s="1"/>
  <c r="G14" i="26" s="1"/>
  <c r="G15" i="26" s="1"/>
  <c r="G16" i="26" s="1"/>
  <c r="G17" i="26" s="1"/>
  <c r="G18" i="26" s="1"/>
  <c r="G19" i="26" s="1"/>
  <c r="G20" i="26" s="1"/>
  <c r="G21" i="26" s="1"/>
  <c r="G22" i="26" s="1"/>
  <c r="G23" i="26" s="1"/>
  <c r="G24" i="26" s="1"/>
  <c r="G25" i="26" s="1"/>
  <c r="G26" i="26" s="1"/>
  <c r="G27" i="26" s="1"/>
  <c r="G28" i="26" s="1"/>
  <c r="G29" i="26" s="1"/>
  <c r="G30" i="26" s="1"/>
  <c r="G31" i="26" s="1"/>
  <c r="G32" i="26" s="1"/>
  <c r="G33" i="26" s="1"/>
  <c r="D42" i="26" s="1"/>
  <c r="D44" i="26" s="1"/>
  <c r="F4" i="27" s="1"/>
  <c r="G5" i="27" s="1"/>
  <c r="G6" i="27" s="1"/>
  <c r="G7" i="27" s="1"/>
  <c r="G8" i="27" s="1"/>
  <c r="G9" i="27" s="1"/>
  <c r="G10" i="27" s="1"/>
  <c r="G11" i="27" s="1"/>
  <c r="G12" i="27" s="1"/>
  <c r="G13" i="27" s="1"/>
  <c r="G14" i="27" s="1"/>
  <c r="G15" i="27" s="1"/>
  <c r="G16" i="27" s="1"/>
  <c r="G17" i="27" s="1"/>
  <c r="G18" i="27" s="1"/>
  <c r="G19" i="27" s="1"/>
  <c r="G20" i="27" s="1"/>
  <c r="G21" i="27" s="1"/>
  <c r="G22" i="27" s="1"/>
  <c r="G23" i="27" s="1"/>
  <c r="G24" i="27" s="1"/>
  <c r="G25" i="27" s="1"/>
  <c r="G26" i="27" s="1"/>
  <c r="G27" i="27" s="1"/>
  <c r="G28" i="27" s="1"/>
  <c r="G29" i="27" s="1"/>
  <c r="G30" i="27" s="1"/>
  <c r="G31" i="27" s="1"/>
  <c r="G32" i="27" s="1"/>
  <c r="G33" i="27" s="1"/>
  <c r="G34" i="27" s="1"/>
  <c r="D39" i="27" s="1"/>
  <c r="D41" i="27" s="1"/>
  <c r="F4" i="28" s="1"/>
  <c r="G5" i="28" s="1"/>
  <c r="G6" i="28" s="1"/>
  <c r="G7" i="28" s="1"/>
  <c r="G8" i="28" s="1"/>
  <c r="G9" i="28" s="1"/>
  <c r="G10" i="28" s="1"/>
  <c r="G11" i="28" s="1"/>
  <c r="G12" i="28" s="1"/>
  <c r="G13" i="28" s="1"/>
  <c r="G14" i="28" s="1"/>
  <c r="G15" i="28" s="1"/>
  <c r="G16" i="28" s="1"/>
  <c r="G17" i="28" s="1"/>
  <c r="G18" i="28" s="1"/>
  <c r="G19" i="28" s="1"/>
  <c r="G20" i="28" s="1"/>
  <c r="G21" i="28" s="1"/>
  <c r="G22" i="28" s="1"/>
  <c r="G23" i="28" s="1"/>
  <c r="G24" i="28" s="1"/>
  <c r="G25" i="28" s="1"/>
  <c r="G26" i="28" s="1"/>
  <c r="G27" i="28" s="1"/>
  <c r="G28" i="28" s="1"/>
  <c r="G29" i="28" s="1"/>
  <c r="G30" i="28" s="1"/>
  <c r="G31" i="28" s="1"/>
  <c r="G32" i="28" s="1"/>
  <c r="G33" i="28" s="1"/>
  <c r="G34" i="28" s="1"/>
  <c r="D35" i="28" s="1"/>
  <c r="D37" i="28" s="1"/>
  <c r="F4" i="29" s="1"/>
  <c r="G5" i="29" s="1"/>
  <c r="G6" i="29" s="1"/>
  <c r="G7" i="29" s="1"/>
  <c r="G8" i="29" s="1"/>
  <c r="G9" i="29" s="1"/>
  <c r="G10" i="29" s="1"/>
  <c r="G11" i="29" s="1"/>
  <c r="G12" i="29" s="1"/>
  <c r="G13" i="29" s="1"/>
  <c r="G14" i="29" s="1"/>
  <c r="G15" i="29" s="1"/>
  <c r="G16" i="29" s="1"/>
  <c r="G17" i="29" s="1"/>
  <c r="G18" i="29" s="1"/>
  <c r="G19" i="29" s="1"/>
  <c r="G20" i="29" s="1"/>
  <c r="G21" i="29" s="1"/>
  <c r="G22" i="29" s="1"/>
  <c r="G23" i="29" s="1"/>
  <c r="G24" i="29" s="1"/>
  <c r="G25" i="29" s="1"/>
  <c r="G26" i="29" s="1"/>
  <c r="G27" i="29" s="1"/>
  <c r="G28" i="29" s="1"/>
  <c r="G29" i="29" s="1"/>
  <c r="G30" i="29" s="1"/>
  <c r="G31" i="29" s="1"/>
  <c r="G32" i="29" s="1"/>
  <c r="G33" i="29" s="1"/>
  <c r="G34" i="29" s="1"/>
  <c r="D35" i="29" s="1"/>
  <c r="D37" i="29" s="1"/>
  <c r="F4" i="30" s="1"/>
  <c r="G5" i="30" s="1"/>
  <c r="G6" i="30" s="1"/>
  <c r="G7" i="30" s="1"/>
  <c r="G8" i="30" s="1"/>
  <c r="G9" i="30" s="1"/>
  <c r="G10" i="30" s="1"/>
  <c r="G11" i="30" s="1"/>
  <c r="G12" i="30" s="1"/>
  <c r="G13" i="30" s="1"/>
  <c r="G14" i="30" s="1"/>
  <c r="G15" i="30" s="1"/>
  <c r="G16" i="30" s="1"/>
  <c r="G17" i="30" s="1"/>
  <c r="G18" i="30" s="1"/>
  <c r="G19" i="30" s="1"/>
  <c r="G20" i="30" s="1"/>
  <c r="G21" i="30" s="1"/>
  <c r="G22" i="30" s="1"/>
  <c r="G23" i="30" s="1"/>
  <c r="G24" i="30" s="1"/>
  <c r="G25" i="30" s="1"/>
  <c r="G26" i="30" s="1"/>
  <c r="G27" i="30" s="1"/>
  <c r="G28" i="30" s="1"/>
  <c r="G29" i="30" s="1"/>
  <c r="G30" i="30" s="1"/>
  <c r="G31" i="30" s="1"/>
  <c r="G32" i="30" s="1"/>
  <c r="G33" i="30" l="1"/>
  <c r="G34" i="30" s="1"/>
  <c r="G35" i="30" s="1"/>
  <c r="G36" i="30" s="1"/>
  <c r="G37" i="30" s="1"/>
  <c r="G38" i="30" s="1"/>
  <c r="G39" i="30" s="1"/>
  <c r="G40" i="30" s="1"/>
  <c r="D41" i="30" s="1"/>
  <c r="D43" i="30" s="1"/>
  <c r="F4" i="31" s="1"/>
  <c r="G5" i="31" s="1"/>
  <c r="G6" i="31" s="1"/>
  <c r="G7" i="31" s="1"/>
  <c r="G8" i="31" s="1"/>
  <c r="G9" i="31" s="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9" i="31" s="1"/>
  <c r="G40" i="31" s="1"/>
  <c r="G41" i="31" s="1"/>
  <c r="G42" i="31" s="1"/>
  <c r="D43" i="31" s="1"/>
  <c r="D45" i="31" s="1"/>
  <c r="F4" i="32" s="1"/>
  <c r="G5" i="32" s="1"/>
  <c r="G6" i="32" s="1"/>
  <c r="G7" i="32" s="1"/>
  <c r="G8" i="32" s="1"/>
  <c r="G9" i="32" s="1"/>
  <c r="G10" i="32" s="1"/>
  <c r="G11" i="32" s="1"/>
  <c r="G12" i="32" s="1"/>
  <c r="G13" i="32" s="1"/>
  <c r="G14" i="32" s="1"/>
  <c r="G15" i="32" s="1"/>
  <c r="G16" i="32" s="1"/>
  <c r="G17" i="32" s="1"/>
  <c r="G18" i="32" s="1"/>
  <c r="G19" i="32" s="1"/>
  <c r="G20" i="32" s="1"/>
  <c r="G21" i="32" s="1"/>
  <c r="G22" i="32" s="1"/>
  <c r="G23" i="32" s="1"/>
  <c r="G24" i="32" s="1"/>
  <c r="G25" i="32" s="1"/>
  <c r="G26" i="32" s="1"/>
  <c r="G27" i="32" s="1"/>
  <c r="G28" i="32" s="1"/>
  <c r="G29" i="32" l="1"/>
  <c r="G30" i="32" s="1"/>
  <c r="G31" i="32" s="1"/>
  <c r="G32" i="32" s="1"/>
  <c r="G33" i="32" s="1"/>
  <c r="G34" i="32" s="1"/>
  <c r="G35" i="32" s="1"/>
  <c r="G36" i="32" s="1"/>
  <c r="G37" i="32" s="1"/>
  <c r="G38" i="32" s="1"/>
  <c r="G39" i="32" s="1"/>
  <c r="G40" i="32" s="1"/>
  <c r="G41" i="32" s="1"/>
  <c r="G42" i="32" s="1"/>
  <c r="G43" i="32" s="1"/>
  <c r="G44" i="32" s="1"/>
  <c r="G45" i="32" s="1"/>
  <c r="G46" i="32" s="1"/>
  <c r="D47" i="32" s="1"/>
  <c r="D49" i="32" s="1"/>
  <c r="F4" i="33" s="1"/>
  <c r="G5" i="33" s="1"/>
  <c r="G6" i="33" s="1"/>
  <c r="G7" i="33" s="1"/>
  <c r="G8" i="33" s="1"/>
  <c r="G9" i="33" s="1"/>
  <c r="G10" i="33" s="1"/>
  <c r="G11" i="33" s="1"/>
  <c r="G12" i="33" s="1"/>
  <c r="G13" i="33" s="1"/>
  <c r="G14" i="33" s="1"/>
  <c r="G15" i="33" s="1"/>
  <c r="G16" i="33" s="1"/>
  <c r="G17" i="33" s="1"/>
  <c r="G18" i="33" s="1"/>
  <c r="G19" i="33" s="1"/>
  <c r="G20" i="33" s="1"/>
  <c r="G21" i="33" s="1"/>
  <c r="G22" i="33" s="1"/>
  <c r="G23" i="33" s="1"/>
  <c r="G24" i="33" s="1"/>
  <c r="G25" i="33" s="1"/>
  <c r="G26" i="33" s="1"/>
  <c r="G27" i="33" s="1"/>
  <c r="G28" i="33" s="1"/>
  <c r="G29" i="33" s="1"/>
  <c r="G30" i="33" s="1"/>
  <c r="G31" i="33" l="1"/>
  <c r="G32" i="33" s="1"/>
  <c r="G33" i="33" s="1"/>
  <c r="G34" i="33" s="1"/>
  <c r="G35" i="33" s="1"/>
  <c r="G36" i="33" s="1"/>
  <c r="G37" i="33" s="1"/>
  <c r="D38" i="33" s="1"/>
  <c r="D40" i="33" s="1"/>
  <c r="F4" i="34" s="1"/>
  <c r="G5" i="34" s="1"/>
  <c r="G6" i="34" s="1"/>
  <c r="G7" i="34" s="1"/>
  <c r="G8" i="34" s="1"/>
  <c r="G9" i="34" s="1"/>
  <c r="G10" i="34" s="1"/>
  <c r="G11" i="34" s="1"/>
  <c r="G12" i="34" s="1"/>
  <c r="G13" i="34" s="1"/>
  <c r="G14" i="34" s="1"/>
  <c r="G15" i="34" s="1"/>
  <c r="G16" i="34" s="1"/>
  <c r="G17" i="34" s="1"/>
  <c r="G18" i="34" s="1"/>
  <c r="G19" i="34" s="1"/>
  <c r="G20" i="34" s="1"/>
  <c r="G21" i="34" s="1"/>
  <c r="G22" i="34" s="1"/>
  <c r="G23" i="34" s="1"/>
  <c r="G24" i="34" s="1"/>
  <c r="G25" i="34" s="1"/>
  <c r="G26" i="34" s="1"/>
  <c r="G27" i="34" s="1"/>
  <c r="G28" i="34" s="1"/>
  <c r="G29" i="34" s="1"/>
  <c r="G30" i="34" s="1"/>
  <c r="G31" i="34" s="1"/>
  <c r="G32" i="34" s="1"/>
  <c r="G33" i="34" s="1"/>
  <c r="G34" i="34" s="1"/>
  <c r="D36" i="34" s="1"/>
  <c r="D38" i="34" s="1"/>
  <c r="F4" i="35" s="1"/>
  <c r="G5" i="35" s="1"/>
  <c r="G6" i="35" s="1"/>
  <c r="G7" i="35" s="1"/>
  <c r="G8" i="35" s="1"/>
  <c r="G9" i="35" s="1"/>
  <c r="G10" i="35" s="1"/>
  <c r="G11" i="35" s="1"/>
  <c r="G12" i="35" s="1"/>
  <c r="G13" i="35" s="1"/>
  <c r="G14" i="35" s="1"/>
  <c r="G15" i="35" s="1"/>
  <c r="G16" i="35" s="1"/>
  <c r="G17" i="35" s="1"/>
  <c r="G18" i="35" s="1"/>
  <c r="G19" i="35" s="1"/>
  <c r="G20" i="35" s="1"/>
  <c r="G21" i="35" s="1"/>
  <c r="G22" i="35" s="1"/>
  <c r="G23" i="35" s="1"/>
  <c r="G24" i="35" s="1"/>
  <c r="G25" i="35" s="1"/>
  <c r="G26" i="35" s="1"/>
  <c r="G27" i="35" s="1"/>
  <c r="G28" i="35" s="1"/>
  <c r="G29" i="35" s="1"/>
  <c r="G30" i="35" s="1"/>
  <c r="G31" i="35" s="1"/>
  <c r="G32" i="35" s="1"/>
  <c r="G33" i="35" s="1"/>
  <c r="G34" i="35" s="1"/>
  <c r="D35" i="35" s="1"/>
  <c r="D37" i="35" s="1"/>
  <c r="F4" i="36" s="1"/>
  <c r="G5" i="36" s="1"/>
  <c r="G6" i="36" s="1"/>
  <c r="G7" i="36" s="1"/>
  <c r="G8" i="36" s="1"/>
  <c r="G9" i="36" s="1"/>
  <c r="G10" i="36" s="1"/>
  <c r="G11" i="36" s="1"/>
  <c r="G12" i="36" s="1"/>
  <c r="G13" i="36" s="1"/>
  <c r="G14" i="36" s="1"/>
  <c r="G15" i="36" s="1"/>
  <c r="G16" i="36" s="1"/>
  <c r="G17" i="36" s="1"/>
  <c r="G18" i="36" s="1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s="1"/>
  <c r="D35" i="36" s="1"/>
  <c r="D37" i="36" s="1"/>
  <c r="F4" i="37" s="1"/>
  <c r="G5" i="37" s="1"/>
  <c r="G6" i="37" s="1"/>
  <c r="G7" i="37" s="1"/>
  <c r="G8" i="37" s="1"/>
  <c r="G9" i="37" s="1"/>
  <c r="G10" i="37" s="1"/>
  <c r="G11" i="37" s="1"/>
  <c r="G12" i="37" s="1"/>
  <c r="G13" i="37" s="1"/>
  <c r="G14" i="37" s="1"/>
  <c r="G15" i="37" s="1"/>
  <c r="G16" i="37" s="1"/>
  <c r="G17" i="37" s="1"/>
  <c r="G18" i="37" s="1"/>
  <c r="G19" i="37" s="1"/>
  <c r="G20" i="37" s="1"/>
  <c r="G21" i="37" s="1"/>
  <c r="G22" i="37" s="1"/>
  <c r="G23" i="37" s="1"/>
  <c r="G24" i="37" s="1"/>
  <c r="G25" i="37" s="1"/>
  <c r="G26" i="37" s="1"/>
  <c r="G27" i="37" s="1"/>
  <c r="G28" i="37" s="1"/>
  <c r="G29" i="37" s="1"/>
  <c r="G30" i="37" s="1"/>
  <c r="G31" i="37" s="1"/>
  <c r="G32" i="37" s="1"/>
  <c r="G33" i="37" s="1"/>
  <c r="G34" i="37" s="1"/>
  <c r="D35" i="37" s="1"/>
  <c r="D37" i="37" s="1"/>
  <c r="F4" i="38" s="1"/>
  <c r="G5" i="38" s="1"/>
  <c r="G6" i="38" s="1"/>
  <c r="G7" i="38" s="1"/>
  <c r="G8" i="38" s="1"/>
  <c r="G9" i="38" s="1"/>
  <c r="G10" i="38" s="1"/>
  <c r="G11" i="38" s="1"/>
  <c r="G12" i="38" s="1"/>
  <c r="G13" i="38" s="1"/>
  <c r="G14" i="38" s="1"/>
  <c r="G15" i="38" s="1"/>
  <c r="G16" i="38" s="1"/>
  <c r="G17" i="38" s="1"/>
  <c r="G18" i="38" s="1"/>
  <c r="G19" i="38" s="1"/>
  <c r="G20" i="38" s="1"/>
  <c r="G21" i="38" s="1"/>
  <c r="G22" i="38" s="1"/>
  <c r="G23" i="38" s="1"/>
  <c r="G24" i="38" s="1"/>
  <c r="G25" i="38" s="1"/>
  <c r="G26" i="38" s="1"/>
  <c r="G27" i="38" s="1"/>
  <c r="G28" i="38" s="1"/>
  <c r="G29" i="38" s="1"/>
  <c r="G30" i="38" s="1"/>
  <c r="G31" i="38" s="1"/>
  <c r="G32" i="38" s="1"/>
  <c r="G33" i="38" s="1"/>
  <c r="G34" i="38" s="1"/>
  <c r="D35" i="38" s="1"/>
  <c r="D37" i="38" s="1"/>
  <c r="F4" i="39" s="1"/>
  <c r="G5" i="39" s="1"/>
  <c r="G6" i="39" s="1"/>
  <c r="G7" i="39" s="1"/>
  <c r="G8" i="39" s="1"/>
  <c r="G9" i="39" s="1"/>
  <c r="G10" i="39" s="1"/>
  <c r="G11" i="39" s="1"/>
  <c r="G12" i="39" s="1"/>
  <c r="G13" i="39" s="1"/>
  <c r="G14" i="39" s="1"/>
  <c r="G15" i="39" s="1"/>
  <c r="G16" i="39" s="1"/>
  <c r="G17" i="39" s="1"/>
  <c r="G18" i="39" s="1"/>
  <c r="G19" i="39" s="1"/>
  <c r="G20" i="39" s="1"/>
  <c r="G21" i="39" s="1"/>
  <c r="G22" i="39" s="1"/>
  <c r="G23" i="39" s="1"/>
  <c r="G24" i="39" s="1"/>
  <c r="G25" i="39" s="1"/>
  <c r="G26" i="39" s="1"/>
  <c r="G27" i="39" s="1"/>
  <c r="G28" i="39" s="1"/>
  <c r="G29" i="39" s="1"/>
  <c r="G30" i="39" s="1"/>
  <c r="G31" i="39" s="1"/>
  <c r="G32" i="39" s="1"/>
  <c r="G33" i="39" s="1"/>
  <c r="G34" i="39" s="1"/>
  <c r="D35" i="39" s="1"/>
  <c r="D37" i="39" s="1"/>
  <c r="F4" i="40" s="1"/>
  <c r="G5" i="40" s="1"/>
  <c r="G6" i="40" s="1"/>
  <c r="G7" i="40" s="1"/>
  <c r="G8" i="40" s="1"/>
  <c r="G9" i="40" s="1"/>
  <c r="G10" i="40" s="1"/>
  <c r="G11" i="40" s="1"/>
  <c r="G12" i="40" s="1"/>
  <c r="G13" i="40" s="1"/>
  <c r="G14" i="40" s="1"/>
  <c r="G15" i="40" s="1"/>
  <c r="G16" i="40" s="1"/>
  <c r="G17" i="40" s="1"/>
  <c r="G18" i="40" s="1"/>
  <c r="G19" i="40" s="1"/>
  <c r="G20" i="40" s="1"/>
  <c r="G21" i="40" s="1"/>
  <c r="G22" i="40" s="1"/>
  <c r="G23" i="40" s="1"/>
  <c r="G24" i="40" s="1"/>
  <c r="G25" i="40" s="1"/>
  <c r="G26" i="40" s="1"/>
  <c r="G27" i="40" s="1"/>
  <c r="G28" i="40" s="1"/>
  <c r="G29" i="40" s="1"/>
  <c r="G30" i="40" s="1"/>
  <c r="G31" i="40" s="1"/>
  <c r="G32" i="40" s="1"/>
  <c r="G33" i="40" s="1"/>
  <c r="G34" i="40" s="1"/>
  <c r="D35" i="40" s="1"/>
  <c r="D37" i="40" s="1"/>
  <c r="F4" i="41" s="1"/>
  <c r="G5" i="41" s="1"/>
  <c r="G6" i="41" s="1"/>
  <c r="G7" i="41" s="1"/>
  <c r="G8" i="41" s="1"/>
  <c r="G9" i="41" s="1"/>
  <c r="G10" i="41" s="1"/>
  <c r="G11" i="41" s="1"/>
  <c r="G12" i="41" s="1"/>
  <c r="G13" i="41" s="1"/>
  <c r="G14" i="41" s="1"/>
  <c r="G15" i="41" s="1"/>
  <c r="G16" i="41" s="1"/>
  <c r="G17" i="41" s="1"/>
  <c r="G18" i="41" s="1"/>
  <c r="G19" i="41" s="1"/>
  <c r="G20" i="41" s="1"/>
  <c r="G21" i="41" s="1"/>
  <c r="G22" i="41" s="1"/>
  <c r="G23" i="41" s="1"/>
  <c r="G24" i="41" s="1"/>
  <c r="G25" i="41" s="1"/>
  <c r="G26" i="41" s="1"/>
  <c r="G27" i="41" s="1"/>
  <c r="G28" i="41" s="1"/>
  <c r="G29" i="41" s="1"/>
  <c r="G30" i="41" s="1"/>
  <c r="G31" i="41" s="1"/>
  <c r="G32" i="41" s="1"/>
  <c r="G33" i="41" s="1"/>
  <c r="G34" i="41" s="1"/>
  <c r="D35" i="41" s="1"/>
  <c r="D37" i="41" s="1"/>
  <c r="F4" i="42" s="1"/>
  <c r="G5" i="42" s="1"/>
  <c r="G6" i="42" s="1"/>
  <c r="G7" i="42" s="1"/>
  <c r="G8" i="42" s="1"/>
  <c r="G9" i="42" s="1"/>
  <c r="G10" i="42" s="1"/>
  <c r="G11" i="42" s="1"/>
  <c r="G12" i="42" s="1"/>
  <c r="G13" i="42" s="1"/>
  <c r="G14" i="42" s="1"/>
  <c r="G15" i="42" s="1"/>
  <c r="G16" i="42" s="1"/>
  <c r="G17" i="42" s="1"/>
  <c r="G18" i="42" s="1"/>
  <c r="G19" i="42" s="1"/>
  <c r="G20" i="42" s="1"/>
  <c r="G21" i="42" s="1"/>
  <c r="G22" i="42" s="1"/>
  <c r="G23" i="42" s="1"/>
  <c r="G24" i="42" s="1"/>
  <c r="G25" i="42" s="1"/>
  <c r="G26" i="42" s="1"/>
  <c r="G27" i="42" s="1"/>
  <c r="G28" i="42" s="1"/>
  <c r="G29" i="42" s="1"/>
  <c r="G30" i="42" s="1"/>
  <c r="G31" i="42" s="1"/>
  <c r="G32" i="42" s="1"/>
  <c r="G33" i="42" s="1"/>
  <c r="G34" i="42" s="1"/>
  <c r="D35" i="42" s="1"/>
  <c r="D37" i="42" s="1"/>
  <c r="F4" i="43" s="1"/>
  <c r="G5" i="43" s="1"/>
  <c r="G6" i="43" s="1"/>
  <c r="G7" i="43" s="1"/>
  <c r="G8" i="43" s="1"/>
  <c r="G9" i="43" s="1"/>
  <c r="G10" i="43" s="1"/>
  <c r="G11" i="43" s="1"/>
  <c r="G12" i="43" s="1"/>
  <c r="G13" i="43" s="1"/>
  <c r="G14" i="43" s="1"/>
  <c r="G15" i="43" s="1"/>
  <c r="G16" i="43" s="1"/>
  <c r="G17" i="43" s="1"/>
  <c r="G18" i="43" s="1"/>
  <c r="G19" i="43" s="1"/>
  <c r="G20" i="43" s="1"/>
  <c r="G21" i="43" s="1"/>
  <c r="G22" i="43" s="1"/>
  <c r="G23" i="43" s="1"/>
  <c r="G24" i="43" s="1"/>
  <c r="G25" i="43" s="1"/>
  <c r="G26" i="43" s="1"/>
  <c r="G27" i="43" s="1"/>
  <c r="G28" i="43" s="1"/>
  <c r="G29" i="43" s="1"/>
  <c r="G30" i="43" s="1"/>
  <c r="G31" i="43" s="1"/>
  <c r="G32" i="43" s="1"/>
  <c r="G33" i="43" s="1"/>
  <c r="G34" i="43" s="1"/>
  <c r="D35" i="43" s="1"/>
  <c r="D37" i="43" s="1"/>
  <c r="F4" i="44" s="1"/>
  <c r="G5" i="44" s="1"/>
  <c r="G6" i="44" s="1"/>
  <c r="G7" i="44" s="1"/>
  <c r="G8" i="44" s="1"/>
  <c r="G9" i="44" s="1"/>
  <c r="G10" i="44" s="1"/>
  <c r="G11" i="44" s="1"/>
  <c r="G12" i="44" s="1"/>
  <c r="G13" i="44" s="1"/>
  <c r="G14" i="44" s="1"/>
  <c r="G15" i="44" s="1"/>
  <c r="G16" i="44" s="1"/>
  <c r="G17" i="44" s="1"/>
  <c r="G18" i="44" s="1"/>
  <c r="G19" i="44" s="1"/>
  <c r="G20" i="44" s="1"/>
  <c r="G21" i="44" s="1"/>
  <c r="G22" i="44" s="1"/>
  <c r="G23" i="44" s="1"/>
  <c r="G24" i="44" s="1"/>
  <c r="G25" i="44" s="1"/>
  <c r="G26" i="44" s="1"/>
  <c r="G27" i="44" s="1"/>
  <c r="G28" i="44" s="1"/>
  <c r="G29" i="44" s="1"/>
  <c r="G30" i="44" s="1"/>
  <c r="G31" i="44" s="1"/>
  <c r="G32" i="44" s="1"/>
  <c r="G33" i="44" s="1"/>
  <c r="G34" i="44" s="1"/>
  <c r="D35" i="44" s="1"/>
  <c r="D37" i="44" s="1"/>
  <c r="F4" i="45" s="1"/>
  <c r="G5" i="45" s="1"/>
  <c r="G6" i="45" s="1"/>
  <c r="G7" i="45" s="1"/>
  <c r="G8" i="45" s="1"/>
  <c r="G9" i="45" s="1"/>
  <c r="G10" i="45" s="1"/>
  <c r="G11" i="45" s="1"/>
  <c r="G12" i="45" s="1"/>
  <c r="G13" i="45" s="1"/>
  <c r="G14" i="45" s="1"/>
  <c r="G15" i="45" s="1"/>
  <c r="G16" i="45" s="1"/>
  <c r="G17" i="45" s="1"/>
  <c r="G18" i="45" s="1"/>
  <c r="G19" i="45" s="1"/>
  <c r="G20" i="45" s="1"/>
  <c r="G21" i="45" s="1"/>
  <c r="G22" i="45" s="1"/>
  <c r="G23" i="45" s="1"/>
  <c r="G24" i="45" s="1"/>
  <c r="G25" i="45" s="1"/>
  <c r="G26" i="45" s="1"/>
  <c r="G27" i="45" s="1"/>
  <c r="G28" i="45" s="1"/>
  <c r="G29" i="45" s="1"/>
  <c r="G30" i="45" s="1"/>
  <c r="G31" i="45" s="1"/>
  <c r="G32" i="45" s="1"/>
  <c r="G33" i="45" s="1"/>
  <c r="G34" i="45" s="1"/>
  <c r="D35" i="45" s="1"/>
  <c r="D37" i="45" s="1"/>
  <c r="F4" i="46" s="1"/>
  <c r="G5" i="46" s="1"/>
  <c r="G6" i="46" s="1"/>
  <c r="G7" i="46" s="1"/>
  <c r="G8" i="46" s="1"/>
  <c r="G9" i="46" s="1"/>
  <c r="G10" i="46" s="1"/>
  <c r="G11" i="46" s="1"/>
  <c r="G12" i="46" s="1"/>
  <c r="G13" i="46" s="1"/>
  <c r="G14" i="46" s="1"/>
  <c r="G15" i="46" s="1"/>
  <c r="G16" i="46" s="1"/>
  <c r="G17" i="46" s="1"/>
  <c r="G18" i="46" s="1"/>
  <c r="G19" i="46" s="1"/>
  <c r="G20" i="46" s="1"/>
  <c r="G21" i="46" s="1"/>
  <c r="G22" i="46" s="1"/>
  <c r="G23" i="46" s="1"/>
  <c r="G24" i="46" s="1"/>
  <c r="G25" i="46" s="1"/>
  <c r="G26" i="46" s="1"/>
  <c r="G27" i="46" s="1"/>
  <c r="G28" i="46" s="1"/>
  <c r="G29" i="46" s="1"/>
  <c r="G30" i="46" s="1"/>
  <c r="G31" i="46" s="1"/>
  <c r="G32" i="46" s="1"/>
  <c r="G33" i="46" s="1"/>
  <c r="G34" i="46" s="1"/>
  <c r="D35" i="46" s="1"/>
  <c r="D37" i="46" s="1"/>
  <c r="F4" i="47" s="1"/>
  <c r="G5" i="47" s="1"/>
  <c r="G6" i="47" s="1"/>
  <c r="G7" i="47" s="1"/>
  <c r="G8" i="47" s="1"/>
  <c r="G9" i="47" s="1"/>
  <c r="G10" i="47" s="1"/>
  <c r="G11" i="47" s="1"/>
  <c r="G12" i="47" s="1"/>
  <c r="G13" i="47" s="1"/>
  <c r="G14" i="47" s="1"/>
  <c r="G15" i="47" s="1"/>
  <c r="G16" i="47" s="1"/>
  <c r="G17" i="47" s="1"/>
  <c r="G18" i="47" s="1"/>
  <c r="G19" i="47" s="1"/>
  <c r="G20" i="47" s="1"/>
  <c r="G21" i="47" s="1"/>
  <c r="G22" i="47" s="1"/>
  <c r="G23" i="47" s="1"/>
  <c r="G24" i="47" s="1"/>
  <c r="G25" i="47" s="1"/>
  <c r="G26" i="47" s="1"/>
  <c r="G27" i="47" s="1"/>
  <c r="G28" i="47" s="1"/>
  <c r="G29" i="47" s="1"/>
  <c r="G30" i="47" s="1"/>
  <c r="G31" i="47" s="1"/>
  <c r="G32" i="47" s="1"/>
  <c r="G33" i="47" s="1"/>
  <c r="G34" i="47" s="1"/>
  <c r="D35" i="47" s="1"/>
  <c r="D37" i="47" s="1"/>
  <c r="F4" i="48" s="1"/>
  <c r="G5" i="48" s="1"/>
  <c r="G6" i="48" s="1"/>
  <c r="G7" i="48" s="1"/>
  <c r="G8" i="48" s="1"/>
  <c r="G9" i="48" s="1"/>
  <c r="G10" i="48" s="1"/>
  <c r="G11" i="48" s="1"/>
  <c r="G12" i="48" s="1"/>
  <c r="G13" i="48" s="1"/>
  <c r="G14" i="48" s="1"/>
  <c r="G15" i="48" s="1"/>
  <c r="G16" i="48" s="1"/>
  <c r="G17" i="48" s="1"/>
  <c r="G18" i="48" s="1"/>
  <c r="G19" i="48" s="1"/>
  <c r="G20" i="48" s="1"/>
  <c r="G21" i="48" s="1"/>
  <c r="G22" i="48" s="1"/>
  <c r="G23" i="48" s="1"/>
  <c r="G24" i="48" s="1"/>
  <c r="G25" i="48" s="1"/>
  <c r="G26" i="48" s="1"/>
  <c r="G27" i="48" s="1"/>
  <c r="G28" i="48" s="1"/>
  <c r="G29" i="48" s="1"/>
  <c r="G30" i="48" s="1"/>
  <c r="G31" i="48" s="1"/>
  <c r="G32" i="48" s="1"/>
  <c r="G33" i="48" s="1"/>
  <c r="G34" i="48" s="1"/>
  <c r="D35" i="48" s="1"/>
  <c r="D37" i="48" s="1"/>
  <c r="F4" i="49" s="1"/>
  <c r="G5" i="49" s="1"/>
  <c r="G6" i="49" s="1"/>
  <c r="G7" i="49" s="1"/>
  <c r="G8" i="49" s="1"/>
  <c r="G9" i="49" s="1"/>
  <c r="G10" i="49" s="1"/>
  <c r="G11" i="49" s="1"/>
  <c r="G12" i="49" s="1"/>
  <c r="G13" i="49" s="1"/>
  <c r="G14" i="49" s="1"/>
  <c r="G15" i="49" s="1"/>
  <c r="G16" i="49" s="1"/>
  <c r="G17" i="49" s="1"/>
  <c r="G18" i="49" s="1"/>
  <c r="G19" i="49" s="1"/>
  <c r="G20" i="49" s="1"/>
  <c r="G21" i="49" s="1"/>
  <c r="G22" i="49" s="1"/>
  <c r="G23" i="49" s="1"/>
  <c r="G24" i="49" s="1"/>
  <c r="G25" i="49" s="1"/>
  <c r="G26" i="49" s="1"/>
  <c r="G27" i="49" s="1"/>
  <c r="G28" i="49" s="1"/>
  <c r="G29" i="49" s="1"/>
  <c r="G30" i="49" s="1"/>
  <c r="G31" i="49" s="1"/>
  <c r="G32" i="49" s="1"/>
  <c r="G33" i="49" s="1"/>
  <c r="G34" i="49" s="1"/>
  <c r="D35" i="49" s="1"/>
  <c r="D37" i="49" s="1"/>
  <c r="F4" i="50" s="1"/>
  <c r="G5" i="50" s="1"/>
  <c r="G6" i="50" s="1"/>
  <c r="G7" i="50" s="1"/>
  <c r="G8" i="50" s="1"/>
  <c r="G9" i="50" s="1"/>
  <c r="G10" i="50" s="1"/>
  <c r="G11" i="50" s="1"/>
  <c r="G12" i="50" s="1"/>
  <c r="G13" i="50" s="1"/>
  <c r="G14" i="50" s="1"/>
  <c r="G15" i="50" s="1"/>
  <c r="G16" i="50" s="1"/>
  <c r="G17" i="50" s="1"/>
  <c r="G18" i="50" s="1"/>
  <c r="G19" i="50" s="1"/>
  <c r="G20" i="50" s="1"/>
  <c r="G21" i="50" s="1"/>
  <c r="G22" i="50" s="1"/>
  <c r="G23" i="50" s="1"/>
  <c r="G24" i="50" s="1"/>
  <c r="G25" i="50" s="1"/>
  <c r="G26" i="50" s="1"/>
  <c r="G27" i="50" s="1"/>
  <c r="G28" i="50" s="1"/>
  <c r="G29" i="50" s="1"/>
  <c r="G30" i="50" s="1"/>
  <c r="G31" i="50" s="1"/>
  <c r="G32" i="50" s="1"/>
  <c r="G33" i="50" s="1"/>
  <c r="G34" i="50" s="1"/>
  <c r="D35" i="50" s="1"/>
  <c r="D37" i="50" s="1"/>
  <c r="F4" i="51" s="1"/>
  <c r="G5" i="51" s="1"/>
  <c r="G6" i="51" s="1"/>
  <c r="G7" i="51" s="1"/>
  <c r="G8" i="51" s="1"/>
  <c r="G9" i="51" s="1"/>
  <c r="G10" i="51" s="1"/>
  <c r="G11" i="51" s="1"/>
  <c r="G12" i="51" s="1"/>
  <c r="G13" i="51" s="1"/>
  <c r="G14" i="51" s="1"/>
  <c r="G15" i="51" s="1"/>
  <c r="G16" i="51" s="1"/>
  <c r="G17" i="51" s="1"/>
  <c r="G18" i="51" s="1"/>
  <c r="G19" i="51" s="1"/>
  <c r="G20" i="51" s="1"/>
  <c r="G21" i="51" s="1"/>
  <c r="G22" i="51" s="1"/>
  <c r="G23" i="51" s="1"/>
  <c r="G24" i="51" s="1"/>
  <c r="G25" i="51" s="1"/>
  <c r="G26" i="51" s="1"/>
  <c r="G27" i="51" s="1"/>
  <c r="G28" i="51" s="1"/>
  <c r="G29" i="51" s="1"/>
  <c r="G30" i="51" s="1"/>
  <c r="G31" i="51" s="1"/>
  <c r="G32" i="51" s="1"/>
  <c r="G33" i="51" s="1"/>
  <c r="G34" i="51" s="1"/>
  <c r="D35" i="51" s="1"/>
  <c r="D37" i="51" s="1"/>
  <c r="F4" i="52" s="1"/>
  <c r="G5" i="52" s="1"/>
  <c r="G6" i="52" s="1"/>
  <c r="G7" i="52" s="1"/>
  <c r="G8" i="52" s="1"/>
  <c r="G9" i="52" s="1"/>
  <c r="G10" i="52" s="1"/>
  <c r="G11" i="52" s="1"/>
  <c r="G12" i="52" s="1"/>
  <c r="G13" i="52" s="1"/>
  <c r="G14" i="52" s="1"/>
  <c r="G15" i="52" s="1"/>
  <c r="G16" i="52" s="1"/>
  <c r="G17" i="52" s="1"/>
  <c r="G18" i="52" s="1"/>
  <c r="G19" i="52" s="1"/>
  <c r="G20" i="52" s="1"/>
  <c r="G21" i="52" s="1"/>
  <c r="G22" i="52" s="1"/>
  <c r="G23" i="52" s="1"/>
  <c r="G24" i="52" s="1"/>
  <c r="G25" i="52" s="1"/>
  <c r="G26" i="52" s="1"/>
  <c r="G27" i="52" s="1"/>
  <c r="G28" i="52" s="1"/>
  <c r="G29" i="52" s="1"/>
  <c r="G30" i="52" s="1"/>
  <c r="G31" i="52" s="1"/>
  <c r="G32" i="52" s="1"/>
  <c r="G33" i="52" s="1"/>
  <c r="G34" i="52" s="1"/>
  <c r="D35" i="52" s="1"/>
  <c r="D37" i="52" s="1"/>
  <c r="F4" i="53" s="1"/>
  <c r="G5" i="53" s="1"/>
  <c r="G6" i="53" s="1"/>
  <c r="G7" i="53" s="1"/>
  <c r="G8" i="53" s="1"/>
  <c r="G9" i="53" s="1"/>
  <c r="G10" i="53" s="1"/>
  <c r="G11" i="53" s="1"/>
  <c r="G12" i="53" s="1"/>
  <c r="G13" i="53" s="1"/>
  <c r="G14" i="53" s="1"/>
  <c r="G15" i="53" s="1"/>
  <c r="G16" i="53" s="1"/>
  <c r="G17" i="53" s="1"/>
  <c r="G18" i="53" s="1"/>
  <c r="G19" i="53" s="1"/>
  <c r="G20" i="53" s="1"/>
  <c r="G21" i="53" s="1"/>
  <c r="G22" i="53" s="1"/>
  <c r="G23" i="53" s="1"/>
  <c r="G24" i="53" s="1"/>
  <c r="G25" i="53" s="1"/>
  <c r="G26" i="53" s="1"/>
  <c r="G27" i="53" s="1"/>
  <c r="G28" i="53" s="1"/>
  <c r="G29" i="53" s="1"/>
  <c r="G30" i="53" s="1"/>
  <c r="G31" i="53" s="1"/>
  <c r="G32" i="53" s="1"/>
  <c r="G33" i="53" s="1"/>
  <c r="G34" i="53" s="1"/>
  <c r="D35" i="53" s="1"/>
  <c r="D37" i="53" s="1"/>
</calcChain>
</file>

<file path=xl/sharedStrings.xml><?xml version="1.0" encoding="utf-8"?>
<sst xmlns="http://schemas.openxmlformats.org/spreadsheetml/2006/main" count="3280" uniqueCount="255">
  <si>
    <t>D</t>
  </si>
  <si>
    <t>C</t>
  </si>
  <si>
    <t>****</t>
  </si>
  <si>
    <t>ZvwiL t-</t>
  </si>
  <si>
    <t>‡µwWU</t>
  </si>
  <si>
    <t>‡WwWU</t>
  </si>
  <si>
    <t>‡gmvm© Imgvb wdm&amp;</t>
  </si>
  <si>
    <t>mvBb‡evW© evRvi grm Avor</t>
  </si>
  <si>
    <t>evi t</t>
  </si>
  <si>
    <t xml:space="preserve"> †gvU †µwWU t</t>
  </si>
  <si>
    <t>‡gvU †WweU t</t>
  </si>
  <si>
    <t>eZ©gvb K¨vk t</t>
  </si>
  <si>
    <t>c~‡e©i K¨vk-Bb-n¨vÛ t</t>
  </si>
  <si>
    <t>ïµevi</t>
  </si>
  <si>
    <t>Kwgkb--</t>
  </si>
  <si>
    <t>mwgwZ--</t>
  </si>
  <si>
    <t>gmwR`--</t>
  </si>
  <si>
    <t>eKwkm--</t>
  </si>
  <si>
    <t>Awdm LiP--</t>
  </si>
  <si>
    <t>÷vd bv¯Ív--</t>
  </si>
  <si>
    <t>gvmyg †eZb--</t>
  </si>
  <si>
    <t>ivnvZ †eZb--</t>
  </si>
  <si>
    <t>m`v †eZb--</t>
  </si>
  <si>
    <t>gvgyb †eZb--</t>
  </si>
  <si>
    <t>wewa Avq--</t>
  </si>
  <si>
    <t>ZwiKzj B‡j±ªwb·--</t>
  </si>
  <si>
    <t>c~‡e©i LiP-- 112000</t>
  </si>
  <si>
    <t>AvR‡Ki LiP-- 25460</t>
  </si>
  <si>
    <t>‡gvU LiP-- 137460</t>
  </si>
  <si>
    <t>iv¾vK Av`vq--</t>
  </si>
  <si>
    <t>‡gv¯Í--</t>
  </si>
  <si>
    <t>wRKz--</t>
  </si>
  <si>
    <t>‡mvnvM--</t>
  </si>
  <si>
    <t>AvwRRyj--</t>
  </si>
  <si>
    <t>gvwZb--</t>
  </si>
  <si>
    <t>‡gvZv‡je--</t>
  </si>
  <si>
    <t>kvwnb--</t>
  </si>
  <si>
    <t>mv‡q`--</t>
  </si>
  <si>
    <t>Rvnvw½i--</t>
  </si>
  <si>
    <t>Avmv`--</t>
  </si>
  <si>
    <t>gvdzR--</t>
  </si>
  <si>
    <t>gxi Rvdi--</t>
  </si>
  <si>
    <t>kvRvnvb--</t>
  </si>
  <si>
    <t>mvMi--</t>
  </si>
  <si>
    <t>‰Zqe--</t>
  </si>
  <si>
    <t>‡ngv‡qZ--</t>
  </si>
  <si>
    <t>‡ejv‡qZ--</t>
  </si>
  <si>
    <t>ûgvqyb--</t>
  </si>
  <si>
    <t>wgivR--</t>
  </si>
  <si>
    <t>wgRy--</t>
  </si>
  <si>
    <t>‡mv‡nj--</t>
  </si>
  <si>
    <t>evmvi--</t>
  </si>
  <si>
    <t>bM` weµq--</t>
  </si>
  <si>
    <t>mv‡eK evKx-- 9,71,110/=</t>
  </si>
  <si>
    <t>AvR‡Ki Av`vq-- 4,76,000/=</t>
  </si>
  <si>
    <t>AvR‡Ki evKx-- 1,77,800/=</t>
  </si>
  <si>
    <t>eZ©gvb evKx-- 6,72,910/=</t>
  </si>
  <si>
    <t>‡gv¯Í evKx--</t>
  </si>
  <si>
    <t>jyrdvi--</t>
  </si>
  <si>
    <t>gyiv`--</t>
  </si>
  <si>
    <t>RvwKi m`©vi--</t>
  </si>
  <si>
    <t>Ggvg-</t>
  </si>
  <si>
    <t>nvwKg--</t>
  </si>
  <si>
    <t>`yjy--</t>
  </si>
  <si>
    <t>kvwKj--</t>
  </si>
  <si>
    <t>AvwRRyj evavj--</t>
  </si>
  <si>
    <t>kwn`--</t>
  </si>
  <si>
    <t>wgRvb--</t>
  </si>
  <si>
    <t>GKivg--</t>
  </si>
  <si>
    <t>iwdKzj--</t>
  </si>
  <si>
    <t>mvBdzj--</t>
  </si>
  <si>
    <t>AvjgwMi--</t>
  </si>
  <si>
    <t>Zzwnb--</t>
  </si>
  <si>
    <t>BKevj--</t>
  </si>
  <si>
    <t>Gb`vZ--</t>
  </si>
  <si>
    <t>jvj fvB--</t>
  </si>
  <si>
    <t>iæûj--</t>
  </si>
  <si>
    <t>iv¾vK evRvi--</t>
  </si>
  <si>
    <t>wbjy --</t>
  </si>
  <si>
    <t>kwbevi</t>
  </si>
  <si>
    <t>AvR‡Ki LiP-- 1660/=</t>
  </si>
  <si>
    <t>c~‡e©i LiP-- 137460/=</t>
  </si>
  <si>
    <t>‡gvU LiP-- 139120/=</t>
  </si>
  <si>
    <t>Av‡bvqvi--</t>
  </si>
  <si>
    <t>dviæL--</t>
  </si>
  <si>
    <t>Gbmvb--</t>
  </si>
  <si>
    <t>mvjvg--</t>
  </si>
  <si>
    <t>mybxj--</t>
  </si>
  <si>
    <t>BwjqvQ--</t>
  </si>
  <si>
    <t>wUUz--</t>
  </si>
  <si>
    <t>IevB`yj--</t>
  </si>
  <si>
    <t>Ggvg--</t>
  </si>
  <si>
    <t>Gg`vZ--</t>
  </si>
  <si>
    <t>iv¾vK--</t>
  </si>
  <si>
    <t>eKzj--</t>
  </si>
  <si>
    <t>kvgxg--</t>
  </si>
  <si>
    <t>kvnveywÏb--</t>
  </si>
  <si>
    <t>imyj--</t>
  </si>
  <si>
    <t>Avjg--</t>
  </si>
  <si>
    <t>gvgyb--</t>
  </si>
  <si>
    <t>Avmjvg--</t>
  </si>
  <si>
    <t>KzÏym--</t>
  </si>
  <si>
    <t>bxjy--</t>
  </si>
  <si>
    <t>mv‡eK evKx-- 6,72,910/=</t>
  </si>
  <si>
    <t>AvR‡Ki Av`vq-- 1,92,780/=</t>
  </si>
  <si>
    <t>AvR‡Ki evKx-- 2,78,930/=</t>
  </si>
  <si>
    <t>eZ©gvb evKx-- 7,59,060/=</t>
  </si>
  <si>
    <t>iweevi</t>
  </si>
  <si>
    <t>‡jvKgvb †diZ †`qv--</t>
  </si>
  <si>
    <t>wbjy gUi mvB‡Kj--</t>
  </si>
  <si>
    <t>ûgvhyb--</t>
  </si>
  <si>
    <t>nvwbd--</t>
  </si>
  <si>
    <t>gvneye--</t>
  </si>
  <si>
    <t>RvwKi †Zjx--</t>
  </si>
  <si>
    <t>mvLvIqvZ--</t>
  </si>
  <si>
    <t>nvB--</t>
  </si>
  <si>
    <t>AvjgwMi KvjyiNvU--</t>
  </si>
  <si>
    <t>mv‡eK evKx-- 7,59,060/=</t>
  </si>
  <si>
    <t>AvR‡Ki Av`vq-- 1,63,300/=</t>
  </si>
  <si>
    <t>c~‡e©i LiP-- 139120-630/=</t>
  </si>
  <si>
    <t>AvR‡Ki LiP-- 4010/=</t>
  </si>
  <si>
    <t>‡gvU LiP-- 142500/=</t>
  </si>
  <si>
    <t>wbjy avi--</t>
  </si>
  <si>
    <t>‡mvgevi</t>
  </si>
  <si>
    <t>fvB fvB wdm--</t>
  </si>
  <si>
    <t>iv¾vK evKx--</t>
  </si>
  <si>
    <t>ivav evey--</t>
  </si>
  <si>
    <t>bRiæj--</t>
  </si>
  <si>
    <t>Avjvwgb--</t>
  </si>
  <si>
    <t>Rqbvj--</t>
  </si>
  <si>
    <t>Kwig--</t>
  </si>
  <si>
    <t>‡bQvi--</t>
  </si>
  <si>
    <t>AvR‡Ki LiP-- 23310/=</t>
  </si>
  <si>
    <t>c~‡e©i LiP-- 142500/=</t>
  </si>
  <si>
    <t>‡gvU LiP-- 165810/=</t>
  </si>
  <si>
    <t>AvR‡Ki Av`vq-- 3,18,540/=</t>
  </si>
  <si>
    <t>AvR‡Ki evKx-- 5,38,200/=</t>
  </si>
  <si>
    <t>g½jevi</t>
  </si>
  <si>
    <t>No fvov--</t>
  </si>
  <si>
    <t>Gg.wW. mv‡ne gybvdv--</t>
  </si>
  <si>
    <t>wbjy fvB gybvdv--</t>
  </si>
  <si>
    <t>Lvb KvKv avi--</t>
  </si>
  <si>
    <t>AvwRg--</t>
  </si>
  <si>
    <t>‡ejøvj--</t>
  </si>
  <si>
    <t>wiqvR--</t>
  </si>
  <si>
    <t>evnv`yi--</t>
  </si>
  <si>
    <t>wgjUb--</t>
  </si>
  <si>
    <t>gvnveye--</t>
  </si>
  <si>
    <t>c~‡e©i LiP-- 165810/=</t>
  </si>
  <si>
    <t>AvR‡Ki LiP-- 72680/=</t>
  </si>
  <si>
    <t>‡gvU LiP-- 238490/=</t>
  </si>
  <si>
    <t>wbjy cwi‡kva--</t>
  </si>
  <si>
    <t>AvR‡Ki Av`vq-- 3,33,860/=</t>
  </si>
  <si>
    <t>AvR‡Ki evKx-- 75,750/=</t>
  </si>
  <si>
    <t>AvR‡Ki evKx-- 2,31,060/=</t>
  </si>
  <si>
    <t>eZ©gvb evKx-- 8,26,820/=</t>
  </si>
  <si>
    <t>mv‡eK evKx-- 8,26,820/=</t>
  </si>
  <si>
    <t>eZ©gvb evKx-- 10,46,480/=</t>
  </si>
  <si>
    <t>mv‡eK evKx-- 10,46,480/=</t>
  </si>
  <si>
    <t>eZ©gvb evKx-- 7,88,370/=</t>
  </si>
  <si>
    <t>eyaevi</t>
  </si>
  <si>
    <t>wUUz evRvi--</t>
  </si>
  <si>
    <t>‡ngv‡qZ fvB--</t>
  </si>
  <si>
    <t>Rvwn`yj--</t>
  </si>
  <si>
    <t>ev`j--</t>
  </si>
  <si>
    <t>wØb eÜz--</t>
  </si>
  <si>
    <t>iæûj ev`vgZjv--</t>
  </si>
  <si>
    <t>c~‡e©i LiP-- 238490/=</t>
  </si>
  <si>
    <t>AvR‡Ki LiP-- 1460/=</t>
  </si>
  <si>
    <t>‡gvU LiP-- 239950/=</t>
  </si>
  <si>
    <t>mv‡eK evKx-- 7,88,370/=</t>
  </si>
  <si>
    <t>AvR‡Ki evKx-- 86,320/=</t>
  </si>
  <si>
    <t>AvR‡Ki Av`vq-- 3,08,370/=</t>
  </si>
  <si>
    <t>eZ©gvb evKx-- 5,66,320/=</t>
  </si>
  <si>
    <t>e„n¯úwZevi</t>
  </si>
  <si>
    <t>eKzj Av`vq--</t>
  </si>
  <si>
    <t>ivav--</t>
  </si>
  <si>
    <t>AwMÖg Ni fvov--</t>
  </si>
  <si>
    <t>eKzj evKx--</t>
  </si>
  <si>
    <t>mv‡eK evKx-- 5,66,320/=</t>
  </si>
  <si>
    <t>AvR‡Ki Av`vq-- 40,200/=</t>
  </si>
  <si>
    <t>AvR‡Ki evKx-- 1,29,770/=</t>
  </si>
  <si>
    <t>eZ©gvb evKx-- 6,55,890/=</t>
  </si>
  <si>
    <t>c~‡e©i LiP-- 239950/=</t>
  </si>
  <si>
    <t>AvR‡Ki LiP-- 18630/=</t>
  </si>
  <si>
    <t>‡gvU LiP-- 258580/=</t>
  </si>
  <si>
    <t>ms¯’vcb e¨vq-140000/=</t>
  </si>
  <si>
    <t>Rvnvw½i †eZb--</t>
  </si>
  <si>
    <t>Uwj µq--</t>
  </si>
  <si>
    <t>mwgwZ-</t>
  </si>
  <si>
    <t>gmwR--</t>
  </si>
  <si>
    <t>mv‡eK evKx-- 6,55,890/=</t>
  </si>
  <si>
    <t>AvR‡Ki Av`vq-- 2,97,660/=</t>
  </si>
  <si>
    <t>AvR‡Ki evKx-- 2,47,610/=</t>
  </si>
  <si>
    <t>eZ©gvb evKx-- 6,05,840/=</t>
  </si>
  <si>
    <t>c~‡e©i LiP-- 258580/=</t>
  </si>
  <si>
    <t>AvR‡Ki LiP-- 1960/=</t>
  </si>
  <si>
    <t>‡gvU LiP-- 260540/=</t>
  </si>
  <si>
    <t>ms¯’vcb e¨vq-5000/=</t>
  </si>
  <si>
    <t>gwZb--</t>
  </si>
  <si>
    <t>kvnvRvb--</t>
  </si>
  <si>
    <t>RvwKi--</t>
  </si>
  <si>
    <t>wbjy--</t>
  </si>
  <si>
    <t>nvwKg-</t>
  </si>
  <si>
    <t>Lvb KvKv--</t>
  </si>
  <si>
    <t>Rvgvj--</t>
  </si>
  <si>
    <t>mv‡eK evKx-- 6,05,840/=</t>
  </si>
  <si>
    <t>AvR‡Ki Av`vq-- 85,740/=</t>
  </si>
  <si>
    <t>AvR‡Ki evKx-- 3,36,010/=</t>
  </si>
  <si>
    <t>eZ©gvb evKx-- 8,56,110/=</t>
  </si>
  <si>
    <t>c~‡e©i LiP-- 2,60,540/=</t>
  </si>
  <si>
    <t>AvR‡Ki LiP-- 4,810/=</t>
  </si>
  <si>
    <t>‡gvU LiP-- 2,65,350/=</t>
  </si>
  <si>
    <t>gwZqvi--</t>
  </si>
  <si>
    <t>mËvi †ZjxMvZx--</t>
  </si>
  <si>
    <t>gbv--</t>
  </si>
  <si>
    <t>g~jab MÖnY--</t>
  </si>
  <si>
    <t>jyrdvi divRx †`qv--</t>
  </si>
  <si>
    <t>gvwZb Av`vq--</t>
  </si>
  <si>
    <t>Rqbvj-</t>
  </si>
  <si>
    <t>mËvi--</t>
  </si>
  <si>
    <t>nvwdRyi--</t>
  </si>
  <si>
    <t>gwn`yj--</t>
  </si>
  <si>
    <t>‡e`vi--</t>
  </si>
  <si>
    <t>iwKe--</t>
  </si>
  <si>
    <t>myjZvb--</t>
  </si>
  <si>
    <t>mv‡eK evKx-- 8,56,110/=</t>
  </si>
  <si>
    <t>AvR‡Ki Av`vq-- 1,44,990/=</t>
  </si>
  <si>
    <t>AvR‡Ki evKx-- 6,13,430/=</t>
  </si>
  <si>
    <t>eZ©gvb evKx-- 13,24,550/=</t>
  </si>
  <si>
    <t>c~‡e©i LiP-- 2,65,350/=</t>
  </si>
  <si>
    <t>AvR‡Ki LiP-- 5,480/=</t>
  </si>
  <si>
    <t>‡gvU LiP-- 2,70,830/=</t>
  </si>
  <si>
    <t>AvwRRyj</t>
  </si>
  <si>
    <t>iv¾vK cwi‡kva--</t>
  </si>
  <si>
    <t>Øxb eÜz--</t>
  </si>
  <si>
    <t>mv‡eK evKx-- 13,24,550/=</t>
  </si>
  <si>
    <t>AvR‡Ki Av`vq-- 4,66,030/=</t>
  </si>
  <si>
    <t>AvR‡Ki evKx-- 9,5470/=</t>
  </si>
  <si>
    <t>eZ©gvb evKx-- 9,53,990/=</t>
  </si>
  <si>
    <t>c~‡e©i LiP-- 2,70,830/=</t>
  </si>
  <si>
    <t>AvR‡Ki LiP-- 1,580/=</t>
  </si>
  <si>
    <t>‡gvU LiP-- 2,72,410/=</t>
  </si>
  <si>
    <t>g~jab †diZ--</t>
  </si>
  <si>
    <t>wgjb--</t>
  </si>
  <si>
    <t>gnvwkb--</t>
  </si>
  <si>
    <t>iwk`--</t>
  </si>
  <si>
    <t>iwng--</t>
  </si>
  <si>
    <t>mv‡eK evKx-- 9,53,990/=</t>
  </si>
  <si>
    <t>AvR‡Ki Av`vq-- 2,22,340/=</t>
  </si>
  <si>
    <t>AvR‡Ki evKx-- 2,61,540/=</t>
  </si>
  <si>
    <t>eZ©gvb evKx-- 9,93,190/=</t>
  </si>
  <si>
    <t>c~‡e©i LiP-- 2,72,410/=</t>
  </si>
  <si>
    <t>AvR‡Ki LiP-- 1,890/=</t>
  </si>
  <si>
    <t>‡gvU LiP-- 2,74,300/=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</si>
</sst>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8"/>
      <name val="SutonnyMJ"/>
    </font>
    <font>
      <b/>
      <sz val="28"/>
      <name val="SutonnyMJ"/>
    </font>
    <font>
      <b/>
      <u val="double"/>
      <sz val="24"/>
      <name val="SutonnyMJ"/>
    </font>
    <font>
      <b/>
      <sz val="18"/>
      <name val="Calibri"/>
      <family val="2"/>
      <scheme val="minor"/>
    </font>
    <font>
      <b/>
      <sz val="22"/>
      <name val="SutonnyMJ"/>
    </font>
    <font>
      <b/>
      <sz val="20"/>
      <name val="SutonnyMJ"/>
    </font>
    <font>
      <b/>
      <sz val="24"/>
      <name val="SutonnyMJ"/>
    </font>
    <font>
      <b/>
      <sz val="16"/>
      <name val="SutonnyMJ"/>
    </font>
    <font>
      <b/>
      <sz val="16"/>
      <name val="Times New Roman"/>
      <family val="1"/>
    </font>
    <font>
      <b/>
      <sz val="16"/>
      <name val="Calibri"/>
      <family val="2"/>
      <scheme val="minor"/>
    </font>
    <font>
      <b/>
      <sz val="26"/>
      <color rgb="FF00B050"/>
      <name val="SutonnyMJ"/>
    </font>
    <font>
      <b/>
      <u val="double"/>
      <sz val="18"/>
      <color rgb="FF7030A0"/>
      <name val="SutonnyMJ"/>
    </font>
    <font>
      <b/>
      <u val="double"/>
      <sz val="20"/>
      <color rgb="FF7030A0"/>
      <name val="SutonnyMJ"/>
    </font>
    <font>
      <b/>
      <sz val="28"/>
      <color rgb="FF7030A0"/>
      <name val="SutonnyMJ"/>
    </font>
    <font>
      <b/>
      <sz val="24"/>
      <color rgb="FF00B050"/>
      <name val="SutonnyMJ"/>
    </font>
    <font>
      <b/>
      <sz val="24"/>
      <color rgb="FF00B0F0"/>
      <name val="SutonnyMJ"/>
    </font>
    <font>
      <b/>
      <sz val="16"/>
      <color theme="5" tint="-0.249977111117893"/>
      <name val="SutonnyMJ"/>
    </font>
    <font>
      <b/>
      <sz val="24"/>
      <color theme="5" tint="-0.249977111117893"/>
      <name val="SutonnyMJ"/>
    </font>
    <font>
      <b/>
      <sz val="28"/>
      <color rgb="FF00B050"/>
      <name val="SutonnyMJ"/>
    </font>
    <font>
      <b/>
      <sz val="28"/>
      <color theme="5" tint="-0.249977111117893"/>
      <name val="SutonnyMJ"/>
    </font>
    <font>
      <sz val="8"/>
      <name val="Calibri"/>
      <family val="2"/>
      <scheme val="minor"/>
    </font>
    <font>
      <b/>
      <sz val="16"/>
      <color theme="0"/>
      <name val="Times New Roman"/>
      <family val="1"/>
    </font>
    <font>
      <b/>
      <sz val="16"/>
      <color theme="0"/>
      <name val="SutonnyMJ"/>
    </font>
    <font>
      <b/>
      <u val="double"/>
      <sz val="16"/>
      <name val="SutonnyMJ"/>
    </font>
    <font>
      <b/>
      <u/>
      <sz val="16"/>
      <name val="SutonnyMJ"/>
    </font>
    <font>
      <b/>
      <sz val="14"/>
      <name val="SutonnyMJ"/>
    </font>
    <font>
      <b/>
      <sz val="14"/>
      <name val="Times New Roman"/>
      <family val="1"/>
    </font>
    <font>
      <b/>
      <sz val="14"/>
      <name val="Calibri"/>
      <family val="2"/>
      <scheme val="minor"/>
    </font>
    <font>
      <b/>
      <sz val="14"/>
      <color theme="0"/>
      <name val="Times New Roman"/>
      <family val="1"/>
    </font>
    <font>
      <b/>
      <sz val="14"/>
      <color theme="0"/>
      <name val="SutonnyMJ"/>
    </font>
    <font>
      <b/>
      <u/>
      <sz val="14"/>
      <name val="SutonnyMJ"/>
    </font>
    <font>
      <b/>
      <u val="double"/>
      <sz val="14"/>
      <name val="SutonnyMJ"/>
    </font>
    <font>
      <b/>
      <sz val="14"/>
      <color theme="1"/>
      <name val="SutonnyMJ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7" fillId="4" borderId="1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22" fillId="0" borderId="1" xfId="0" applyFont="1" applyBorder="1" applyAlignment="1">
      <alignment horizontal="right" vertical="center"/>
    </xf>
    <xf numFmtId="0" fontId="23" fillId="0" borderId="1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5" fillId="0" borderId="1" xfId="0" applyFont="1" applyBorder="1" applyAlignment="1">
      <alignment horizontal="right" vertical="center"/>
    </xf>
    <xf numFmtId="0" fontId="24" fillId="0" borderId="1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24" fillId="0" borderId="3" xfId="0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right" vertical="center"/>
    </xf>
    <xf numFmtId="0" fontId="27" fillId="0" borderId="1" xfId="0" applyFont="1" applyBorder="1" applyAlignment="1">
      <alignment horizontal="right" vertical="center"/>
    </xf>
    <xf numFmtId="0" fontId="26" fillId="0" borderId="1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right" vertical="center"/>
    </xf>
    <xf numFmtId="0" fontId="30" fillId="0" borderId="1" xfId="0" applyFont="1" applyBorder="1" applyAlignment="1">
      <alignment vertical="center"/>
    </xf>
    <xf numFmtId="0" fontId="26" fillId="0" borderId="3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26" fillId="0" borderId="2" xfId="0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22" fillId="6" borderId="1" xfId="0" applyFont="1" applyFill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18" fillId="4" borderId="2" xfId="0" applyFont="1" applyFill="1" applyBorder="1" applyAlignment="1">
      <alignment horizontal="right" vertical="center"/>
    </xf>
    <xf numFmtId="0" fontId="18" fillId="4" borderId="3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16" fillId="2" borderId="3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horizontal="right" vertical="center"/>
    </xf>
    <xf numFmtId="0" fontId="15" fillId="5" borderId="3" xfId="0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46</xdr:row>
      <xdr:rowOff>380440</xdr:rowOff>
    </xdr:from>
    <xdr:to>
      <xdr:col>6</xdr:col>
      <xdr:colOff>1232647</xdr:colOff>
      <xdr:row>47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145489" y="7204822"/>
          <a:ext cx="2972923" cy="45719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43</xdr:row>
      <xdr:rowOff>380440</xdr:rowOff>
    </xdr:from>
    <xdr:to>
      <xdr:col>6</xdr:col>
      <xdr:colOff>1232647</xdr:colOff>
      <xdr:row>44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38</xdr:row>
      <xdr:rowOff>380440</xdr:rowOff>
    </xdr:from>
    <xdr:to>
      <xdr:col>6</xdr:col>
      <xdr:colOff>1232647</xdr:colOff>
      <xdr:row>39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42</xdr:row>
      <xdr:rowOff>380440</xdr:rowOff>
    </xdr:from>
    <xdr:to>
      <xdr:col>6</xdr:col>
      <xdr:colOff>1232647</xdr:colOff>
      <xdr:row>43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39</xdr:row>
      <xdr:rowOff>380440</xdr:rowOff>
    </xdr:from>
    <xdr:to>
      <xdr:col>6</xdr:col>
      <xdr:colOff>1232647</xdr:colOff>
      <xdr:row>40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41</xdr:row>
      <xdr:rowOff>380440</xdr:rowOff>
    </xdr:from>
    <xdr:to>
      <xdr:col>6</xdr:col>
      <xdr:colOff>1232647</xdr:colOff>
      <xdr:row>42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43</xdr:row>
      <xdr:rowOff>380440</xdr:rowOff>
    </xdr:from>
    <xdr:to>
      <xdr:col>6</xdr:col>
      <xdr:colOff>1232647</xdr:colOff>
      <xdr:row>44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47</xdr:row>
      <xdr:rowOff>380440</xdr:rowOff>
    </xdr:from>
    <xdr:to>
      <xdr:col>6</xdr:col>
      <xdr:colOff>1232647</xdr:colOff>
      <xdr:row>48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38</xdr:row>
      <xdr:rowOff>380440</xdr:rowOff>
    </xdr:from>
    <xdr:to>
      <xdr:col>6</xdr:col>
      <xdr:colOff>1232647</xdr:colOff>
      <xdr:row>39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36</xdr:row>
      <xdr:rowOff>380440</xdr:rowOff>
    </xdr:from>
    <xdr:to>
      <xdr:col>6</xdr:col>
      <xdr:colOff>1232647</xdr:colOff>
      <xdr:row>37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>
    <tabColor theme="0"/>
  </sheetPr>
  <dimension ref="A1:N57"/>
  <sheetViews>
    <sheetView view="pageBreakPreview" topLeftCell="B28" zoomScale="115" zoomScaleNormal="145" zoomScaleSheetLayoutView="115" zoomScalePageLayoutView="85" workbookViewId="0">
      <selection activeCell="M13" sqref="M13:M40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 t="s">
        <v>13</v>
      </c>
      <c r="D3" s="70" t="s">
        <v>4</v>
      </c>
      <c r="E3" s="70"/>
      <c r="F3" s="17" t="s">
        <v>3</v>
      </c>
      <c r="G3" s="3">
        <v>45597</v>
      </c>
      <c r="H3" s="69" t="s">
        <v>8</v>
      </c>
      <c r="I3" s="69"/>
      <c r="J3" s="18" t="s">
        <v>13</v>
      </c>
      <c r="K3" s="56" t="s">
        <v>5</v>
      </c>
      <c r="L3" s="56"/>
      <c r="M3" s="16" t="s">
        <v>3</v>
      </c>
      <c r="N3" s="3">
        <v>45597</v>
      </c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v>219260</v>
      </c>
      <c r="G4" s="8" t="s">
        <v>2</v>
      </c>
      <c r="H4" s="10"/>
      <c r="I4" s="10"/>
      <c r="J4" s="6" t="s">
        <v>18</v>
      </c>
      <c r="K4" s="9" t="s">
        <v>0</v>
      </c>
      <c r="L4" s="10"/>
      <c r="M4" s="10">
        <v>170</v>
      </c>
      <c r="N4" s="8" t="s">
        <v>2</v>
      </c>
    </row>
    <row r="5" spans="1:14" s="11" customFormat="1" ht="21" customHeight="1" x14ac:dyDescent="0.25">
      <c r="A5" s="8"/>
      <c r="B5" s="8"/>
      <c r="C5" s="6" t="s">
        <v>14</v>
      </c>
      <c r="D5" s="9" t="s">
        <v>1</v>
      </c>
      <c r="E5" s="8"/>
      <c r="F5" s="10">
        <v>7490</v>
      </c>
      <c r="G5" s="10">
        <f>F4</f>
        <v>219260</v>
      </c>
      <c r="H5" s="8"/>
      <c r="I5" s="8"/>
      <c r="J5" s="6" t="s">
        <v>19</v>
      </c>
      <c r="K5" s="9" t="s">
        <v>0</v>
      </c>
      <c r="L5" s="8"/>
      <c r="M5" s="10">
        <v>690</v>
      </c>
      <c r="N5" s="10">
        <f>M4</f>
        <v>170</v>
      </c>
    </row>
    <row r="6" spans="1:14" s="11" customFormat="1" ht="21" customHeight="1" x14ac:dyDescent="0.25">
      <c r="A6" s="8"/>
      <c r="B6" s="8"/>
      <c r="C6" s="6" t="s">
        <v>15</v>
      </c>
      <c r="D6" s="9" t="s">
        <v>1</v>
      </c>
      <c r="E6" s="8"/>
      <c r="F6" s="10">
        <v>110</v>
      </c>
      <c r="G6" s="10">
        <f>G5+F5</f>
        <v>226750</v>
      </c>
      <c r="H6" s="8"/>
      <c r="I6" s="8"/>
      <c r="J6" s="6" t="s">
        <v>17</v>
      </c>
      <c r="K6" s="9" t="s">
        <v>0</v>
      </c>
      <c r="L6" s="8"/>
      <c r="M6" s="10">
        <v>550</v>
      </c>
      <c r="N6" s="10">
        <f t="shared" ref="N6" si="0">N5+M5</f>
        <v>860</v>
      </c>
    </row>
    <row r="7" spans="1:14" s="11" customFormat="1" ht="21" customHeight="1" x14ac:dyDescent="0.25">
      <c r="A7" s="8"/>
      <c r="B7" s="8"/>
      <c r="C7" s="6" t="s">
        <v>16</v>
      </c>
      <c r="D7" s="9" t="s">
        <v>1</v>
      </c>
      <c r="E7" s="8"/>
      <c r="F7" s="10">
        <v>100</v>
      </c>
      <c r="G7" s="10">
        <f t="shared" ref="G7:G43" si="1">G6+F6</f>
        <v>226860</v>
      </c>
      <c r="H7" s="8"/>
      <c r="I7" s="8"/>
      <c r="J7" s="6" t="s">
        <v>20</v>
      </c>
      <c r="K7" s="9" t="s">
        <v>0</v>
      </c>
      <c r="L7" s="8"/>
      <c r="M7" s="10">
        <v>6260</v>
      </c>
      <c r="N7" s="10">
        <f>N6+M6</f>
        <v>1410</v>
      </c>
    </row>
    <row r="8" spans="1:14" s="11" customFormat="1" ht="21" customHeight="1" x14ac:dyDescent="0.25">
      <c r="A8" s="8"/>
      <c r="B8" s="8"/>
      <c r="C8" s="6" t="s">
        <v>29</v>
      </c>
      <c r="D8" s="9" t="s">
        <v>1</v>
      </c>
      <c r="E8" s="8"/>
      <c r="F8" s="10">
        <v>40000</v>
      </c>
      <c r="G8" s="10">
        <f t="shared" si="1"/>
        <v>226960</v>
      </c>
      <c r="H8" s="8"/>
      <c r="I8" s="8"/>
      <c r="J8" s="6" t="s">
        <v>21</v>
      </c>
      <c r="K8" s="9" t="s">
        <v>0</v>
      </c>
      <c r="L8" s="8"/>
      <c r="M8" s="10">
        <v>8000</v>
      </c>
      <c r="N8" s="10">
        <f t="shared" ref="N8:N45" si="2">N7+M7</f>
        <v>7670</v>
      </c>
    </row>
    <row r="9" spans="1:14" s="11" customFormat="1" ht="21" customHeight="1" x14ac:dyDescent="0.25">
      <c r="A9" s="8"/>
      <c r="B9" s="8"/>
      <c r="C9" s="6" t="s">
        <v>30</v>
      </c>
      <c r="D9" s="9" t="s">
        <v>1</v>
      </c>
      <c r="E9" s="8"/>
      <c r="F9" s="10">
        <v>37300</v>
      </c>
      <c r="G9" s="10">
        <f t="shared" si="1"/>
        <v>266960</v>
      </c>
      <c r="H9" s="8"/>
      <c r="I9" s="8"/>
      <c r="J9" s="6" t="s">
        <v>22</v>
      </c>
      <c r="K9" s="9" t="s">
        <v>0</v>
      </c>
      <c r="L9" s="8"/>
      <c r="M9" s="10">
        <v>5790</v>
      </c>
      <c r="N9" s="10">
        <f t="shared" si="2"/>
        <v>15670</v>
      </c>
    </row>
    <row r="10" spans="1:14" s="11" customFormat="1" ht="21" customHeight="1" x14ac:dyDescent="0.25">
      <c r="A10" s="8"/>
      <c r="B10" s="8"/>
      <c r="C10" s="6" t="s">
        <v>31</v>
      </c>
      <c r="D10" s="9" t="s">
        <v>1</v>
      </c>
      <c r="E10" s="8"/>
      <c r="F10" s="10">
        <v>154520</v>
      </c>
      <c r="G10" s="10">
        <f t="shared" si="1"/>
        <v>304260</v>
      </c>
      <c r="H10" s="8"/>
      <c r="I10" s="8"/>
      <c r="J10" s="6" t="s">
        <v>23</v>
      </c>
      <c r="K10" s="9" t="s">
        <v>0</v>
      </c>
      <c r="L10" s="8"/>
      <c r="M10" s="10">
        <v>4000</v>
      </c>
      <c r="N10" s="10">
        <f t="shared" si="2"/>
        <v>21460</v>
      </c>
    </row>
    <row r="11" spans="1:14" s="11" customFormat="1" ht="21" customHeight="1" x14ac:dyDescent="0.25">
      <c r="A11" s="8"/>
      <c r="B11" s="8"/>
      <c r="C11" s="6" t="s">
        <v>32</v>
      </c>
      <c r="D11" s="9" t="s">
        <v>1</v>
      </c>
      <c r="E11" s="8"/>
      <c r="F11" s="10">
        <v>2910</v>
      </c>
      <c r="G11" s="10">
        <f t="shared" si="1"/>
        <v>458780</v>
      </c>
      <c r="H11" s="8"/>
      <c r="I11" s="8"/>
      <c r="J11" s="6" t="s">
        <v>24</v>
      </c>
      <c r="K11" s="9" t="s">
        <v>0</v>
      </c>
      <c r="L11" s="8"/>
      <c r="M11" s="10">
        <v>2990</v>
      </c>
      <c r="N11" s="10">
        <f t="shared" si="2"/>
        <v>25460</v>
      </c>
    </row>
    <row r="12" spans="1:14" s="11" customFormat="1" ht="21" customHeight="1" x14ac:dyDescent="0.25">
      <c r="A12" s="8"/>
      <c r="B12" s="8"/>
      <c r="C12" s="6" t="s">
        <v>33</v>
      </c>
      <c r="D12" s="9" t="s">
        <v>1</v>
      </c>
      <c r="E12" s="8"/>
      <c r="F12" s="10">
        <v>69500</v>
      </c>
      <c r="G12" s="10">
        <f t="shared" si="1"/>
        <v>461690</v>
      </c>
      <c r="H12" s="8"/>
      <c r="I12" s="8"/>
      <c r="J12" s="6" t="s">
        <v>25</v>
      </c>
      <c r="K12" s="9" t="s">
        <v>0</v>
      </c>
      <c r="L12" s="8"/>
      <c r="M12" s="10">
        <v>110560</v>
      </c>
      <c r="N12" s="10">
        <f t="shared" si="2"/>
        <v>28450</v>
      </c>
    </row>
    <row r="13" spans="1:14" s="11" customFormat="1" ht="21" customHeight="1" x14ac:dyDescent="0.25">
      <c r="A13" s="8"/>
      <c r="B13" s="8"/>
      <c r="C13" s="6" t="s">
        <v>34</v>
      </c>
      <c r="D13" s="9" t="s">
        <v>1</v>
      </c>
      <c r="E13" s="8"/>
      <c r="F13" s="10">
        <v>80000</v>
      </c>
      <c r="G13" s="10">
        <f t="shared" si="1"/>
        <v>531190</v>
      </c>
      <c r="H13" s="8"/>
      <c r="I13" s="8">
        <v>695</v>
      </c>
      <c r="J13" s="6" t="s">
        <v>57</v>
      </c>
      <c r="K13" s="9" t="s">
        <v>0</v>
      </c>
      <c r="L13" s="8">
        <v>662</v>
      </c>
      <c r="M13" s="10">
        <v>51980</v>
      </c>
      <c r="N13" s="10">
        <f t="shared" si="2"/>
        <v>139010</v>
      </c>
    </row>
    <row r="14" spans="1:14" s="11" customFormat="1" ht="21" customHeight="1" x14ac:dyDescent="0.25">
      <c r="A14" s="8"/>
      <c r="B14" s="8"/>
      <c r="C14" s="6" t="s">
        <v>35</v>
      </c>
      <c r="D14" s="9" t="s">
        <v>1</v>
      </c>
      <c r="E14" s="8"/>
      <c r="F14" s="10">
        <v>10000</v>
      </c>
      <c r="G14" s="10">
        <f t="shared" si="1"/>
        <v>611190</v>
      </c>
      <c r="H14" s="8"/>
      <c r="I14" s="8">
        <v>696</v>
      </c>
      <c r="J14" s="6" t="s">
        <v>31</v>
      </c>
      <c r="K14" s="9" t="s">
        <v>0</v>
      </c>
      <c r="L14" s="8">
        <v>685</v>
      </c>
      <c r="M14" s="10">
        <v>8120</v>
      </c>
      <c r="N14" s="10">
        <f t="shared" si="2"/>
        <v>190990</v>
      </c>
    </row>
    <row r="15" spans="1:14" s="11" customFormat="1" ht="21" customHeight="1" x14ac:dyDescent="0.25">
      <c r="A15" s="10"/>
      <c r="B15" s="10"/>
      <c r="C15" s="6" t="s">
        <v>36</v>
      </c>
      <c r="D15" s="9" t="s">
        <v>1</v>
      </c>
      <c r="E15" s="8"/>
      <c r="F15" s="10">
        <v>10000</v>
      </c>
      <c r="G15" s="10">
        <f t="shared" si="1"/>
        <v>621190</v>
      </c>
      <c r="H15" s="10"/>
      <c r="I15" s="8">
        <v>697</v>
      </c>
      <c r="J15" s="6" t="s">
        <v>35</v>
      </c>
      <c r="K15" s="9" t="s">
        <v>0</v>
      </c>
      <c r="L15" s="8">
        <v>687</v>
      </c>
      <c r="M15" s="10">
        <v>1680</v>
      </c>
      <c r="N15" s="10">
        <f t="shared" si="2"/>
        <v>199110</v>
      </c>
    </row>
    <row r="16" spans="1:14" s="11" customFormat="1" ht="21" customHeight="1" x14ac:dyDescent="0.25">
      <c r="A16" s="10"/>
      <c r="B16" s="10"/>
      <c r="C16" s="6" t="s">
        <v>37</v>
      </c>
      <c r="D16" s="9" t="s">
        <v>1</v>
      </c>
      <c r="E16" s="8"/>
      <c r="F16" s="10">
        <v>3280</v>
      </c>
      <c r="G16" s="10">
        <f t="shared" si="1"/>
        <v>631190</v>
      </c>
      <c r="H16" s="10"/>
      <c r="I16" s="8">
        <v>698</v>
      </c>
      <c r="J16" s="6" t="s">
        <v>58</v>
      </c>
      <c r="K16" s="9" t="s">
        <v>0</v>
      </c>
      <c r="L16" s="8">
        <v>663</v>
      </c>
      <c r="M16" s="10">
        <v>21840</v>
      </c>
      <c r="N16" s="10">
        <f t="shared" si="2"/>
        <v>200790</v>
      </c>
    </row>
    <row r="17" spans="1:14" s="11" customFormat="1" ht="21" customHeight="1" x14ac:dyDescent="0.25">
      <c r="A17" s="10"/>
      <c r="B17" s="10"/>
      <c r="C17" s="6" t="s">
        <v>38</v>
      </c>
      <c r="D17" s="9" t="s">
        <v>1</v>
      </c>
      <c r="E17" s="8"/>
      <c r="F17" s="10">
        <v>1300</v>
      </c>
      <c r="G17" s="10">
        <f t="shared" si="1"/>
        <v>634470</v>
      </c>
      <c r="H17" s="10"/>
      <c r="I17" s="8">
        <v>699</v>
      </c>
      <c r="J17" s="6" t="s">
        <v>59</v>
      </c>
      <c r="K17" s="9" t="s">
        <v>0</v>
      </c>
      <c r="L17" s="8">
        <v>686</v>
      </c>
      <c r="M17" s="10">
        <v>4890</v>
      </c>
      <c r="N17" s="10">
        <f t="shared" si="2"/>
        <v>222630</v>
      </c>
    </row>
    <row r="18" spans="1:14" s="11" customFormat="1" ht="21" customHeight="1" x14ac:dyDescent="0.25">
      <c r="A18" s="10"/>
      <c r="B18" s="10"/>
      <c r="C18" s="6" t="s">
        <v>39</v>
      </c>
      <c r="D18" s="9" t="s">
        <v>1</v>
      </c>
      <c r="E18" s="8"/>
      <c r="F18" s="10">
        <v>1500</v>
      </c>
      <c r="G18" s="10">
        <f t="shared" si="1"/>
        <v>635770</v>
      </c>
      <c r="H18" s="10"/>
      <c r="I18" s="8">
        <v>700</v>
      </c>
      <c r="J18" s="6" t="s">
        <v>33</v>
      </c>
      <c r="K18" s="9" t="s">
        <v>0</v>
      </c>
      <c r="L18" s="8">
        <v>666</v>
      </c>
      <c r="M18" s="10">
        <v>16270</v>
      </c>
      <c r="N18" s="10">
        <f t="shared" si="2"/>
        <v>227520</v>
      </c>
    </row>
    <row r="19" spans="1:14" s="11" customFormat="1" ht="21" customHeight="1" x14ac:dyDescent="0.25">
      <c r="A19" s="10"/>
      <c r="B19" s="10"/>
      <c r="C19" s="6" t="s">
        <v>40</v>
      </c>
      <c r="D19" s="9" t="s">
        <v>1</v>
      </c>
      <c r="E19" s="8"/>
      <c r="F19" s="10">
        <v>8330</v>
      </c>
      <c r="G19" s="10">
        <f t="shared" si="1"/>
        <v>637270</v>
      </c>
      <c r="H19" s="10"/>
      <c r="I19" s="8">
        <v>701</v>
      </c>
      <c r="J19" s="6" t="s">
        <v>34</v>
      </c>
      <c r="K19" s="9" t="s">
        <v>0</v>
      </c>
      <c r="L19" s="8">
        <v>664</v>
      </c>
      <c r="M19" s="10">
        <v>7830</v>
      </c>
      <c r="N19" s="10">
        <f t="shared" si="2"/>
        <v>243790</v>
      </c>
    </row>
    <row r="20" spans="1:14" s="11" customFormat="1" ht="21" customHeight="1" x14ac:dyDescent="0.25">
      <c r="A20" s="10"/>
      <c r="B20" s="10"/>
      <c r="C20" s="6" t="s">
        <v>41</v>
      </c>
      <c r="D20" s="9" t="s">
        <v>1</v>
      </c>
      <c r="E20" s="8"/>
      <c r="F20" s="10">
        <v>3150</v>
      </c>
      <c r="G20" s="10">
        <f t="shared" si="1"/>
        <v>645600</v>
      </c>
      <c r="H20" s="10"/>
      <c r="I20" s="8">
        <v>702</v>
      </c>
      <c r="J20" s="6" t="s">
        <v>60</v>
      </c>
      <c r="K20" s="9" t="s">
        <v>0</v>
      </c>
      <c r="L20" s="8">
        <v>679</v>
      </c>
      <c r="M20" s="10">
        <v>4210</v>
      </c>
      <c r="N20" s="10">
        <f t="shared" si="2"/>
        <v>251620</v>
      </c>
    </row>
    <row r="21" spans="1:14" s="11" customFormat="1" ht="21" customHeight="1" x14ac:dyDescent="0.25">
      <c r="A21" s="10"/>
      <c r="B21" s="10"/>
      <c r="C21" s="6" t="s">
        <v>42</v>
      </c>
      <c r="D21" s="9" t="s">
        <v>1</v>
      </c>
      <c r="E21" s="8"/>
      <c r="F21" s="10">
        <v>2800</v>
      </c>
      <c r="G21" s="10">
        <f t="shared" si="1"/>
        <v>648750</v>
      </c>
      <c r="H21" s="10"/>
      <c r="I21" s="8">
        <v>703</v>
      </c>
      <c r="J21" s="6" t="s">
        <v>61</v>
      </c>
      <c r="K21" s="9" t="s">
        <v>0</v>
      </c>
      <c r="L21" s="8">
        <v>668</v>
      </c>
      <c r="M21" s="10">
        <v>7420</v>
      </c>
      <c r="N21" s="10">
        <f t="shared" si="2"/>
        <v>255830</v>
      </c>
    </row>
    <row r="22" spans="1:14" s="11" customFormat="1" ht="21" customHeight="1" x14ac:dyDescent="0.25">
      <c r="A22" s="10"/>
      <c r="B22" s="10"/>
      <c r="C22" s="6" t="s">
        <v>43</v>
      </c>
      <c r="D22" s="9" t="s">
        <v>1</v>
      </c>
      <c r="E22" s="8"/>
      <c r="F22" s="10">
        <v>1420</v>
      </c>
      <c r="G22" s="10">
        <f t="shared" si="1"/>
        <v>651550</v>
      </c>
      <c r="H22" s="10"/>
      <c r="I22" s="8">
        <v>704</v>
      </c>
      <c r="J22" s="6" t="s">
        <v>62</v>
      </c>
      <c r="K22" s="9" t="s">
        <v>0</v>
      </c>
      <c r="L22" s="8">
        <v>665</v>
      </c>
      <c r="M22" s="10">
        <v>3690</v>
      </c>
      <c r="N22" s="10">
        <f t="shared" si="2"/>
        <v>263250</v>
      </c>
    </row>
    <row r="23" spans="1:14" s="11" customFormat="1" ht="21" customHeight="1" x14ac:dyDescent="0.25">
      <c r="A23" s="10"/>
      <c r="B23" s="10"/>
      <c r="C23" s="6" t="s">
        <v>44</v>
      </c>
      <c r="D23" s="9" t="s">
        <v>1</v>
      </c>
      <c r="E23" s="8"/>
      <c r="F23" s="10">
        <v>4320</v>
      </c>
      <c r="G23" s="10">
        <f t="shared" si="1"/>
        <v>652970</v>
      </c>
      <c r="H23" s="10"/>
      <c r="I23" s="8">
        <v>705</v>
      </c>
      <c r="J23" s="6" t="s">
        <v>63</v>
      </c>
      <c r="K23" s="9" t="s">
        <v>0</v>
      </c>
      <c r="L23" s="8">
        <v>671</v>
      </c>
      <c r="M23" s="10">
        <v>1900</v>
      </c>
      <c r="N23" s="10">
        <f t="shared" si="2"/>
        <v>266940</v>
      </c>
    </row>
    <row r="24" spans="1:14" s="11" customFormat="1" ht="21" customHeight="1" x14ac:dyDescent="0.25">
      <c r="A24" s="10"/>
      <c r="B24" s="10"/>
      <c r="C24" s="6" t="s">
        <v>45</v>
      </c>
      <c r="D24" s="9" t="s">
        <v>1</v>
      </c>
      <c r="E24" s="8"/>
      <c r="F24" s="10">
        <v>10710</v>
      </c>
      <c r="G24" s="10">
        <f t="shared" si="1"/>
        <v>657290</v>
      </c>
      <c r="H24" s="10"/>
      <c r="I24" s="8">
        <v>706</v>
      </c>
      <c r="J24" s="6" t="s">
        <v>64</v>
      </c>
      <c r="K24" s="9" t="s">
        <v>0</v>
      </c>
      <c r="L24" s="8">
        <v>672</v>
      </c>
      <c r="M24" s="10">
        <v>4700</v>
      </c>
      <c r="N24" s="10">
        <f t="shared" si="2"/>
        <v>268840</v>
      </c>
    </row>
    <row r="25" spans="1:14" s="11" customFormat="1" ht="21" customHeight="1" x14ac:dyDescent="0.25">
      <c r="A25" s="10"/>
      <c r="B25" s="10"/>
      <c r="C25" s="6" t="s">
        <v>46</v>
      </c>
      <c r="D25" s="9" t="s">
        <v>1</v>
      </c>
      <c r="E25" s="8"/>
      <c r="F25" s="10">
        <v>7310</v>
      </c>
      <c r="G25" s="10">
        <f t="shared" si="1"/>
        <v>668000</v>
      </c>
      <c r="H25" s="10"/>
      <c r="I25" s="8">
        <v>707</v>
      </c>
      <c r="J25" s="6" t="s">
        <v>65</v>
      </c>
      <c r="K25" s="9" t="s">
        <v>0</v>
      </c>
      <c r="L25" s="8">
        <v>689</v>
      </c>
      <c r="M25" s="10">
        <v>1300</v>
      </c>
      <c r="N25" s="10">
        <f t="shared" si="2"/>
        <v>273540</v>
      </c>
    </row>
    <row r="26" spans="1:14" s="11" customFormat="1" ht="21" customHeight="1" x14ac:dyDescent="0.25">
      <c r="A26" s="10"/>
      <c r="B26" s="10"/>
      <c r="C26" s="6" t="s">
        <v>47</v>
      </c>
      <c r="D26" s="9" t="s">
        <v>1</v>
      </c>
      <c r="E26" s="8"/>
      <c r="F26" s="10">
        <v>9630</v>
      </c>
      <c r="G26" s="10">
        <f t="shared" si="1"/>
        <v>675310</v>
      </c>
      <c r="H26" s="10"/>
      <c r="I26" s="8">
        <v>708</v>
      </c>
      <c r="J26" s="6" t="s">
        <v>66</v>
      </c>
      <c r="K26" s="9" t="s">
        <v>0</v>
      </c>
      <c r="L26" s="8">
        <v>688</v>
      </c>
      <c r="M26" s="10">
        <v>4620</v>
      </c>
      <c r="N26" s="10">
        <f t="shared" si="2"/>
        <v>274840</v>
      </c>
    </row>
    <row r="27" spans="1:14" s="11" customFormat="1" ht="21" customHeight="1" x14ac:dyDescent="0.25">
      <c r="A27" s="10"/>
      <c r="B27" s="10"/>
      <c r="C27" s="6" t="s">
        <v>48</v>
      </c>
      <c r="D27" s="9" t="s">
        <v>1</v>
      </c>
      <c r="E27" s="8"/>
      <c r="F27" s="10">
        <v>2780</v>
      </c>
      <c r="G27" s="10">
        <f t="shared" si="1"/>
        <v>684940</v>
      </c>
      <c r="H27" s="10"/>
      <c r="I27" s="8">
        <v>709</v>
      </c>
      <c r="J27" s="6" t="s">
        <v>45</v>
      </c>
      <c r="K27" s="9" t="s">
        <v>0</v>
      </c>
      <c r="L27" s="8">
        <v>670</v>
      </c>
      <c r="M27" s="10">
        <v>9660</v>
      </c>
      <c r="N27" s="10">
        <f t="shared" si="2"/>
        <v>279460</v>
      </c>
    </row>
    <row r="28" spans="1:14" s="11" customFormat="1" ht="21" customHeight="1" x14ac:dyDescent="0.25">
      <c r="A28" s="10"/>
      <c r="B28" s="10"/>
      <c r="C28" s="6" t="s">
        <v>49</v>
      </c>
      <c r="D28" s="9" t="s">
        <v>1</v>
      </c>
      <c r="E28" s="8"/>
      <c r="F28" s="10">
        <v>6130</v>
      </c>
      <c r="G28" s="10">
        <f t="shared" si="1"/>
        <v>687720</v>
      </c>
      <c r="H28" s="10"/>
      <c r="I28" s="8">
        <v>710</v>
      </c>
      <c r="J28" s="6" t="s">
        <v>49</v>
      </c>
      <c r="K28" s="9" t="s">
        <v>0</v>
      </c>
      <c r="L28" s="8">
        <v>683</v>
      </c>
      <c r="M28" s="10">
        <v>1080</v>
      </c>
      <c r="N28" s="10">
        <f t="shared" si="2"/>
        <v>289120</v>
      </c>
    </row>
    <row r="29" spans="1:14" s="11" customFormat="1" ht="21" customHeight="1" x14ac:dyDescent="0.25">
      <c r="A29" s="10"/>
      <c r="B29" s="10"/>
      <c r="C29" s="6" t="s">
        <v>50</v>
      </c>
      <c r="D29" s="9" t="s">
        <v>1</v>
      </c>
      <c r="E29" s="8"/>
      <c r="F29" s="10">
        <v>5000</v>
      </c>
      <c r="G29" s="10">
        <f t="shared" si="1"/>
        <v>693850</v>
      </c>
      <c r="H29" s="10"/>
      <c r="I29" s="8">
        <v>711</v>
      </c>
      <c r="J29" s="6" t="s">
        <v>67</v>
      </c>
      <c r="K29" s="9" t="s">
        <v>0</v>
      </c>
      <c r="L29" s="8">
        <v>667</v>
      </c>
      <c r="M29" s="10">
        <v>910</v>
      </c>
      <c r="N29" s="10">
        <f t="shared" si="2"/>
        <v>290200</v>
      </c>
    </row>
    <row r="30" spans="1:14" s="11" customFormat="1" ht="21" customHeight="1" x14ac:dyDescent="0.25">
      <c r="A30" s="10"/>
      <c r="B30" s="10"/>
      <c r="C30" s="6" t="s">
        <v>51</v>
      </c>
      <c r="D30" s="9" t="s">
        <v>1</v>
      </c>
      <c r="E30" s="8"/>
      <c r="F30" s="10">
        <v>4110</v>
      </c>
      <c r="G30" s="10">
        <f t="shared" si="1"/>
        <v>698850</v>
      </c>
      <c r="H30" s="10"/>
      <c r="I30" s="8">
        <v>712</v>
      </c>
      <c r="J30" s="6" t="s">
        <v>68</v>
      </c>
      <c r="K30" s="9" t="s">
        <v>0</v>
      </c>
      <c r="L30" s="8">
        <v>676</v>
      </c>
      <c r="M30" s="10">
        <v>5130</v>
      </c>
      <c r="N30" s="10">
        <f t="shared" si="2"/>
        <v>291110</v>
      </c>
    </row>
    <row r="31" spans="1:14" s="11" customFormat="1" ht="21" customHeight="1" x14ac:dyDescent="0.25">
      <c r="A31" s="10"/>
      <c r="B31" s="10"/>
      <c r="C31" s="6" t="s">
        <v>52</v>
      </c>
      <c r="D31" s="9" t="s">
        <v>1</v>
      </c>
      <c r="E31" s="8"/>
      <c r="F31" s="10">
        <v>12810</v>
      </c>
      <c r="G31" s="10">
        <f t="shared" si="1"/>
        <v>702960</v>
      </c>
      <c r="H31" s="10"/>
      <c r="I31" s="8">
        <v>713</v>
      </c>
      <c r="J31" s="6" t="s">
        <v>69</v>
      </c>
      <c r="K31" s="9" t="s">
        <v>0</v>
      </c>
      <c r="L31" s="8">
        <v>673</v>
      </c>
      <c r="M31" s="10">
        <v>1750</v>
      </c>
      <c r="N31" s="10">
        <f t="shared" si="2"/>
        <v>296240</v>
      </c>
    </row>
    <row r="32" spans="1:14" s="11" customFormat="1" ht="21" customHeight="1" x14ac:dyDescent="0.25">
      <c r="A32" s="10"/>
      <c r="B32" s="10"/>
      <c r="C32" s="10"/>
      <c r="D32" s="22" t="s">
        <v>1</v>
      </c>
      <c r="E32" s="8"/>
      <c r="F32" s="10"/>
      <c r="G32" s="10">
        <f t="shared" si="1"/>
        <v>715770</v>
      </c>
      <c r="H32" s="10"/>
      <c r="I32" s="8">
        <v>714</v>
      </c>
      <c r="J32" s="6" t="s">
        <v>70</v>
      </c>
      <c r="K32" s="9" t="s">
        <v>0</v>
      </c>
      <c r="L32" s="8">
        <v>674</v>
      </c>
      <c r="M32" s="10">
        <v>1750</v>
      </c>
      <c r="N32" s="10">
        <f t="shared" si="2"/>
        <v>297990</v>
      </c>
    </row>
    <row r="33" spans="1:14" s="11" customFormat="1" ht="21" customHeight="1" x14ac:dyDescent="0.25">
      <c r="A33" s="10"/>
      <c r="B33" s="10"/>
      <c r="C33" s="10"/>
      <c r="D33" s="22" t="s">
        <v>1</v>
      </c>
      <c r="E33" s="8"/>
      <c r="F33" s="10"/>
      <c r="G33" s="23">
        <f t="shared" si="1"/>
        <v>715770</v>
      </c>
      <c r="H33" s="10"/>
      <c r="I33" s="8">
        <v>715</v>
      </c>
      <c r="J33" s="6" t="s">
        <v>71</v>
      </c>
      <c r="K33" s="9" t="s">
        <v>0</v>
      </c>
      <c r="L33" s="8">
        <v>675</v>
      </c>
      <c r="M33" s="10">
        <v>2560</v>
      </c>
      <c r="N33" s="10">
        <f t="shared" si="2"/>
        <v>299740</v>
      </c>
    </row>
    <row r="34" spans="1:14" s="11" customFormat="1" ht="21" customHeight="1" x14ac:dyDescent="0.25">
      <c r="A34" s="10"/>
      <c r="B34" s="10"/>
      <c r="C34" s="10"/>
      <c r="D34" s="22" t="s">
        <v>1</v>
      </c>
      <c r="E34" s="8"/>
      <c r="F34" s="10"/>
      <c r="G34" s="23">
        <f t="shared" si="1"/>
        <v>715770</v>
      </c>
      <c r="H34" s="10"/>
      <c r="I34" s="8">
        <v>716</v>
      </c>
      <c r="J34" s="6" t="s">
        <v>72</v>
      </c>
      <c r="K34" s="9" t="s">
        <v>0</v>
      </c>
      <c r="L34" s="8">
        <v>684</v>
      </c>
      <c r="M34" s="10">
        <v>1130</v>
      </c>
      <c r="N34" s="10">
        <f t="shared" si="2"/>
        <v>302300</v>
      </c>
    </row>
    <row r="35" spans="1:14" s="11" customFormat="1" ht="21" customHeight="1" x14ac:dyDescent="0.25">
      <c r="A35" s="10"/>
      <c r="B35" s="10"/>
      <c r="C35" s="10"/>
      <c r="D35" s="22" t="s">
        <v>1</v>
      </c>
      <c r="E35" s="8"/>
      <c r="F35" s="10"/>
      <c r="G35" s="23">
        <f t="shared" si="1"/>
        <v>715770</v>
      </c>
      <c r="H35" s="10"/>
      <c r="I35" s="8">
        <v>717</v>
      </c>
      <c r="J35" s="6" t="s">
        <v>73</v>
      </c>
      <c r="K35" s="9" t="s">
        <v>0</v>
      </c>
      <c r="L35" s="8">
        <v>682</v>
      </c>
      <c r="M35" s="10">
        <v>1080</v>
      </c>
      <c r="N35" s="10">
        <f t="shared" si="2"/>
        <v>303430</v>
      </c>
    </row>
    <row r="36" spans="1:14" s="11" customFormat="1" ht="21" customHeight="1" x14ac:dyDescent="0.25">
      <c r="A36" s="10"/>
      <c r="B36" s="10"/>
      <c r="C36" s="10"/>
      <c r="D36" s="22" t="s">
        <v>1</v>
      </c>
      <c r="E36" s="8"/>
      <c r="F36" s="10"/>
      <c r="G36" s="23">
        <f t="shared" si="1"/>
        <v>715770</v>
      </c>
      <c r="H36" s="10"/>
      <c r="I36" s="8">
        <v>718</v>
      </c>
      <c r="J36" s="6" t="s">
        <v>74</v>
      </c>
      <c r="K36" s="9" t="s">
        <v>0</v>
      </c>
      <c r="L36" s="8">
        <v>681</v>
      </c>
      <c r="M36" s="10">
        <v>3000</v>
      </c>
      <c r="N36" s="10">
        <f t="shared" si="2"/>
        <v>304510</v>
      </c>
    </row>
    <row r="37" spans="1:14" s="11" customFormat="1" ht="21" customHeight="1" x14ac:dyDescent="0.25">
      <c r="A37" s="10"/>
      <c r="B37" s="10"/>
      <c r="C37" s="10"/>
      <c r="D37" s="22" t="s">
        <v>1</v>
      </c>
      <c r="E37" s="8"/>
      <c r="F37" s="10"/>
      <c r="G37" s="23">
        <f t="shared" si="1"/>
        <v>715770</v>
      </c>
      <c r="H37" s="10"/>
      <c r="I37" s="8">
        <v>719</v>
      </c>
      <c r="J37" s="6" t="s">
        <v>75</v>
      </c>
      <c r="K37" s="9" t="s">
        <v>0</v>
      </c>
      <c r="L37" s="8">
        <v>678</v>
      </c>
      <c r="M37" s="10">
        <v>3620</v>
      </c>
      <c r="N37" s="10">
        <f t="shared" si="2"/>
        <v>307510</v>
      </c>
    </row>
    <row r="38" spans="1:14" s="11" customFormat="1" ht="21" customHeight="1" x14ac:dyDescent="0.25">
      <c r="A38" s="10"/>
      <c r="B38" s="10"/>
      <c r="C38" s="10"/>
      <c r="D38" s="22" t="s">
        <v>1</v>
      </c>
      <c r="E38" s="8"/>
      <c r="F38" s="10"/>
      <c r="G38" s="23">
        <f t="shared" si="1"/>
        <v>715770</v>
      </c>
      <c r="H38" s="10"/>
      <c r="I38" s="8">
        <v>720</v>
      </c>
      <c r="J38" s="6" t="s">
        <v>76</v>
      </c>
      <c r="K38" s="9" t="s">
        <v>0</v>
      </c>
      <c r="L38" s="8">
        <v>680</v>
      </c>
      <c r="M38" s="10">
        <v>1690</v>
      </c>
      <c r="N38" s="10">
        <f t="shared" si="2"/>
        <v>311130</v>
      </c>
    </row>
    <row r="39" spans="1:14" s="11" customFormat="1" ht="21" customHeight="1" x14ac:dyDescent="0.25">
      <c r="A39" s="10"/>
      <c r="B39" s="10"/>
      <c r="C39" s="10"/>
      <c r="D39" s="22" t="s">
        <v>1</v>
      </c>
      <c r="E39" s="8"/>
      <c r="F39" s="10"/>
      <c r="G39" s="23">
        <f t="shared" si="1"/>
        <v>715770</v>
      </c>
      <c r="H39" s="10"/>
      <c r="I39" s="8">
        <v>721</v>
      </c>
      <c r="J39" s="6" t="s">
        <v>77</v>
      </c>
      <c r="K39" s="9" t="s">
        <v>0</v>
      </c>
      <c r="L39" s="8">
        <v>677</v>
      </c>
      <c r="M39" s="10">
        <v>1400</v>
      </c>
      <c r="N39" s="10">
        <f t="shared" si="2"/>
        <v>312820</v>
      </c>
    </row>
    <row r="40" spans="1:14" s="11" customFormat="1" ht="21" customHeight="1" x14ac:dyDescent="0.25">
      <c r="A40" s="10"/>
      <c r="B40" s="10"/>
      <c r="C40" s="10"/>
      <c r="D40" s="22" t="s">
        <v>1</v>
      </c>
      <c r="E40" s="8"/>
      <c r="F40" s="10"/>
      <c r="G40" s="23">
        <f t="shared" si="1"/>
        <v>715770</v>
      </c>
      <c r="H40" s="10"/>
      <c r="I40" s="8">
        <v>722</v>
      </c>
      <c r="J40" s="6" t="s">
        <v>78</v>
      </c>
      <c r="K40" s="9" t="s">
        <v>0</v>
      </c>
      <c r="L40" s="8">
        <v>669</v>
      </c>
      <c r="M40" s="10">
        <v>2590</v>
      </c>
      <c r="N40" s="10">
        <f t="shared" si="2"/>
        <v>314220</v>
      </c>
    </row>
    <row r="41" spans="1:14" s="11" customFormat="1" ht="21" customHeight="1" x14ac:dyDescent="0.25">
      <c r="A41" s="10"/>
      <c r="B41" s="10"/>
      <c r="C41" s="10"/>
      <c r="D41" s="22" t="s">
        <v>1</v>
      </c>
      <c r="E41" s="8"/>
      <c r="F41" s="10"/>
      <c r="G41" s="23">
        <f t="shared" si="1"/>
        <v>715770</v>
      </c>
      <c r="H41" s="10"/>
      <c r="I41" s="8">
        <v>723</v>
      </c>
      <c r="J41" s="6" t="s">
        <v>52</v>
      </c>
      <c r="K41" s="9" t="s">
        <v>0</v>
      </c>
      <c r="L41" s="8">
        <v>660</v>
      </c>
      <c r="M41" s="10">
        <v>12810</v>
      </c>
      <c r="N41" s="10">
        <f t="shared" si="2"/>
        <v>316810</v>
      </c>
    </row>
    <row r="42" spans="1:14" s="11" customFormat="1" ht="21" customHeight="1" x14ac:dyDescent="0.25">
      <c r="A42" s="10"/>
      <c r="B42" s="10"/>
      <c r="C42" s="8" t="s">
        <v>53</v>
      </c>
      <c r="D42" s="22" t="s">
        <v>1</v>
      </c>
      <c r="E42" s="8"/>
      <c r="F42" s="10"/>
      <c r="G42" s="23">
        <f t="shared" si="1"/>
        <v>715770</v>
      </c>
      <c r="H42" s="10"/>
      <c r="I42" s="10"/>
      <c r="J42" s="10" t="s">
        <v>26</v>
      </c>
      <c r="K42" s="22" t="s">
        <v>0</v>
      </c>
      <c r="L42" s="8"/>
      <c r="M42" s="10"/>
      <c r="N42" s="10">
        <f t="shared" si="2"/>
        <v>329620</v>
      </c>
    </row>
    <row r="43" spans="1:14" s="11" customFormat="1" ht="21" customHeight="1" x14ac:dyDescent="0.25">
      <c r="A43" s="10"/>
      <c r="B43" s="10"/>
      <c r="C43" s="8" t="s">
        <v>54</v>
      </c>
      <c r="D43" s="22" t="s">
        <v>1</v>
      </c>
      <c r="E43" s="8"/>
      <c r="F43" s="10"/>
      <c r="G43" s="23">
        <f t="shared" si="1"/>
        <v>715770</v>
      </c>
      <c r="H43" s="10"/>
      <c r="I43" s="10"/>
      <c r="J43" s="10" t="s">
        <v>27</v>
      </c>
      <c r="K43" s="22" t="s">
        <v>0</v>
      </c>
      <c r="L43" s="8"/>
      <c r="M43" s="10"/>
      <c r="N43" s="23">
        <f t="shared" si="2"/>
        <v>329620</v>
      </c>
    </row>
    <row r="44" spans="1:14" s="11" customFormat="1" ht="21" customHeight="1" x14ac:dyDescent="0.25">
      <c r="A44" s="10"/>
      <c r="B44" s="10"/>
      <c r="C44" s="8" t="s">
        <v>55</v>
      </c>
      <c r="D44" s="22" t="s">
        <v>1</v>
      </c>
      <c r="E44" s="10"/>
      <c r="F44" s="10"/>
      <c r="G44" s="23">
        <f>G43+F43</f>
        <v>715770</v>
      </c>
      <c r="H44" s="10"/>
      <c r="I44" s="10"/>
      <c r="J44" s="10" t="s">
        <v>28</v>
      </c>
      <c r="K44" s="22" t="s">
        <v>0</v>
      </c>
      <c r="L44" s="10"/>
      <c r="M44" s="10"/>
      <c r="N44" s="23">
        <f t="shared" si="2"/>
        <v>329620</v>
      </c>
    </row>
    <row r="45" spans="1:14" s="11" customFormat="1" ht="21" customHeight="1" x14ac:dyDescent="0.25">
      <c r="A45" s="19"/>
      <c r="B45" s="10"/>
      <c r="C45" s="21" t="s">
        <v>56</v>
      </c>
      <c r="D45" s="9"/>
      <c r="E45" s="10"/>
      <c r="F45" s="10"/>
      <c r="G45" s="23">
        <f>G44+F44</f>
        <v>715770</v>
      </c>
      <c r="H45" s="19"/>
      <c r="I45" s="19"/>
      <c r="J45" s="20"/>
      <c r="K45" s="9"/>
      <c r="L45" s="10"/>
      <c r="M45" s="10"/>
      <c r="N45" s="23">
        <f t="shared" si="2"/>
        <v>329620</v>
      </c>
    </row>
    <row r="46" spans="1:14" ht="31.5" customHeight="1" x14ac:dyDescent="0.25">
      <c r="A46" s="60" t="s">
        <v>9</v>
      </c>
      <c r="B46" s="60"/>
      <c r="C46" s="61"/>
      <c r="D46" s="66">
        <f>G44+F44</f>
        <v>715770</v>
      </c>
      <c r="E46" s="66"/>
      <c r="F46" s="66"/>
      <c r="G46" s="66"/>
      <c r="H46" s="54" t="s">
        <v>10</v>
      </c>
      <c r="I46" s="54"/>
      <c r="J46" s="55"/>
      <c r="K46" s="66">
        <f>N44+M44</f>
        <v>329620</v>
      </c>
      <c r="L46" s="66"/>
      <c r="M46" s="66"/>
      <c r="N46" s="66"/>
    </row>
    <row r="47" spans="1:14" ht="30.75" customHeight="1" x14ac:dyDescent="0.25">
      <c r="A47" s="54" t="s">
        <v>10</v>
      </c>
      <c r="B47" s="54"/>
      <c r="C47" s="55"/>
      <c r="D47" s="67">
        <f>K46</f>
        <v>329620</v>
      </c>
      <c r="E47" s="67"/>
      <c r="F47" s="67"/>
      <c r="G47" s="67"/>
      <c r="H47" s="52"/>
      <c r="I47" s="52"/>
      <c r="J47" s="13"/>
      <c r="K47" s="53"/>
      <c r="L47" s="53"/>
      <c r="M47" s="53"/>
      <c r="N47" s="14"/>
    </row>
    <row r="48" spans="1:14" ht="36.75" customHeight="1" x14ac:dyDescent="0.25">
      <c r="A48" s="62" t="s">
        <v>11</v>
      </c>
      <c r="B48" s="62"/>
      <c r="C48" s="63"/>
      <c r="D48" s="57">
        <f>D46-D47</f>
        <v>386150</v>
      </c>
      <c r="E48" s="58"/>
      <c r="F48" s="58"/>
      <c r="G48" s="59"/>
      <c r="H48" s="52"/>
      <c r="I48" s="52"/>
      <c r="J48" s="13"/>
      <c r="K48" s="51"/>
      <c r="L48" s="51"/>
      <c r="M48" s="51"/>
      <c r="N48" s="15"/>
    </row>
    <row r="49" spans="3:14" ht="21" customHeight="1" x14ac:dyDescent="0.25">
      <c r="C49" s="2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2"/>
      <c r="D50" s="4"/>
      <c r="E50" s="4"/>
      <c r="F50" s="4"/>
      <c r="G50" s="4"/>
      <c r="J50" s="7"/>
      <c r="K50" s="4"/>
      <c r="L50" s="4"/>
      <c r="M50" s="4"/>
      <c r="N50" s="4"/>
    </row>
    <row r="51" spans="3:14" ht="21" customHeight="1" x14ac:dyDescent="0.25">
      <c r="C51" s="2"/>
      <c r="D51" s="4"/>
      <c r="E51" s="4"/>
      <c r="F51" s="4"/>
      <c r="G51" s="4"/>
      <c r="J51" s="7"/>
      <c r="K51" s="4"/>
      <c r="L51" s="4"/>
      <c r="M51" s="4"/>
      <c r="N51" s="4"/>
    </row>
    <row r="52" spans="3:14" ht="21" customHeight="1" x14ac:dyDescent="0.25">
      <c r="C52" s="2"/>
      <c r="D52" s="4"/>
      <c r="E52" s="4"/>
      <c r="F52" s="4"/>
      <c r="G52" s="4"/>
      <c r="J52" s="7"/>
      <c r="K52" s="4"/>
      <c r="L52" s="4"/>
      <c r="M52" s="4"/>
      <c r="N52" s="4"/>
    </row>
    <row r="53" spans="3:14" ht="21" customHeight="1" x14ac:dyDescent="0.25">
      <c r="C53" s="2"/>
      <c r="D53" s="4"/>
      <c r="E53" s="4"/>
      <c r="F53" s="4"/>
      <c r="G53" s="4"/>
      <c r="J53" s="7"/>
      <c r="K53" s="4"/>
      <c r="L53" s="4"/>
      <c r="M53" s="4"/>
      <c r="N53" s="4"/>
    </row>
    <row r="54" spans="3:14" ht="21" customHeight="1" x14ac:dyDescent="0.25">
      <c r="C54" s="2"/>
      <c r="D54" s="4"/>
      <c r="E54" s="4"/>
      <c r="F54" s="4"/>
      <c r="G54" s="4"/>
      <c r="J54" s="7"/>
      <c r="K54" s="4"/>
      <c r="L54" s="4"/>
      <c r="M54" s="4"/>
      <c r="N54" s="4"/>
    </row>
    <row r="55" spans="3:14" ht="21" customHeight="1" x14ac:dyDescent="0.25">
      <c r="C55" s="2"/>
      <c r="D55" s="4"/>
      <c r="E55" s="4"/>
      <c r="F55" s="4"/>
      <c r="G55" s="4"/>
      <c r="J55" s="7"/>
      <c r="K55" s="4"/>
      <c r="L55" s="4"/>
      <c r="M55" s="4"/>
      <c r="N55" s="4"/>
    </row>
    <row r="56" spans="3:14" ht="21" customHeight="1" x14ac:dyDescent="0.25">
      <c r="C56" s="2"/>
      <c r="D56" s="4"/>
      <c r="E56" s="4"/>
      <c r="F56" s="4"/>
      <c r="G56" s="4"/>
      <c r="J56" s="7"/>
      <c r="K56" s="4"/>
      <c r="L56" s="4"/>
      <c r="M56" s="4"/>
      <c r="N56" s="4"/>
    </row>
    <row r="57" spans="3:14" ht="21" customHeight="1" x14ac:dyDescent="0.25">
      <c r="C57" s="2"/>
      <c r="D57" s="4"/>
      <c r="E57" s="4"/>
      <c r="F57" s="4"/>
      <c r="G57" s="4"/>
      <c r="J57" s="7"/>
      <c r="K57" s="4"/>
      <c r="L57" s="4"/>
      <c r="M57" s="4"/>
      <c r="N57" s="4"/>
    </row>
  </sheetData>
  <mergeCells count="21">
    <mergeCell ref="D48:G48"/>
    <mergeCell ref="A46:C46"/>
    <mergeCell ref="A47:C47"/>
    <mergeCell ref="A48:C48"/>
    <mergeCell ref="H1:N1"/>
    <mergeCell ref="H2:N2"/>
    <mergeCell ref="D46:G46"/>
    <mergeCell ref="K46:N46"/>
    <mergeCell ref="D47:G47"/>
    <mergeCell ref="A4:E4"/>
    <mergeCell ref="A3:B3"/>
    <mergeCell ref="D3:E3"/>
    <mergeCell ref="A1:G1"/>
    <mergeCell ref="A2:G2"/>
    <mergeCell ref="H3:I3"/>
    <mergeCell ref="H48:I48"/>
    <mergeCell ref="K48:M48"/>
    <mergeCell ref="H47:I47"/>
    <mergeCell ref="K47:M47"/>
    <mergeCell ref="H46:J46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N54"/>
  <sheetViews>
    <sheetView view="pageBreakPreview" topLeftCell="A23" zoomScale="115" zoomScaleNormal="145" zoomScaleSheetLayoutView="115" zoomScalePageLayoutView="85" workbookViewId="0">
      <selection activeCell="M7" sqref="M7:M36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 t="s">
        <v>79</v>
      </c>
      <c r="D3" s="70" t="s">
        <v>4</v>
      </c>
      <c r="E3" s="70"/>
      <c r="F3" s="17" t="s">
        <v>3</v>
      </c>
      <c r="G3" s="3">
        <v>45598</v>
      </c>
      <c r="H3" s="69" t="s">
        <v>8</v>
      </c>
      <c r="I3" s="69"/>
      <c r="J3" s="18" t="s">
        <v>79</v>
      </c>
      <c r="K3" s="56" t="s">
        <v>5</v>
      </c>
      <c r="L3" s="56"/>
      <c r="M3" s="17" t="s">
        <v>3</v>
      </c>
      <c r="N3" s="3">
        <v>45598</v>
      </c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(01)'!D48</f>
        <v>386150</v>
      </c>
      <c r="G4" s="8" t="s">
        <v>2</v>
      </c>
      <c r="H4" s="10"/>
      <c r="I4" s="10"/>
      <c r="J4" s="6" t="s">
        <v>18</v>
      </c>
      <c r="K4" s="9" t="s">
        <v>0</v>
      </c>
      <c r="L4" s="10"/>
      <c r="M4" s="10">
        <v>190</v>
      </c>
      <c r="N4" s="8" t="s">
        <v>2</v>
      </c>
    </row>
    <row r="5" spans="1:14" s="11" customFormat="1" ht="21" customHeight="1" x14ac:dyDescent="0.25">
      <c r="A5" s="8"/>
      <c r="B5" s="8"/>
      <c r="C5" s="6" t="s">
        <v>14</v>
      </c>
      <c r="D5" s="9" t="s">
        <v>1</v>
      </c>
      <c r="E5" s="8"/>
      <c r="F5" s="10">
        <v>12400</v>
      </c>
      <c r="G5" s="10">
        <f>F4</f>
        <v>386150</v>
      </c>
      <c r="H5" s="8"/>
      <c r="I5" s="8"/>
      <c r="J5" s="6" t="s">
        <v>19</v>
      </c>
      <c r="K5" s="9" t="s">
        <v>0</v>
      </c>
      <c r="L5" s="8"/>
      <c r="M5" s="10">
        <v>690</v>
      </c>
      <c r="N5" s="10">
        <f>M4</f>
        <v>190</v>
      </c>
    </row>
    <row r="6" spans="1:14" s="11" customFormat="1" ht="21" customHeight="1" x14ac:dyDescent="0.25">
      <c r="A6" s="8"/>
      <c r="B6" s="8"/>
      <c r="C6" s="6" t="s">
        <v>15</v>
      </c>
      <c r="D6" s="9" t="s">
        <v>1</v>
      </c>
      <c r="E6" s="8"/>
      <c r="F6" s="10">
        <v>150</v>
      </c>
      <c r="G6" s="10">
        <f>G5+F5</f>
        <v>398550</v>
      </c>
      <c r="H6" s="8"/>
      <c r="I6" s="8"/>
      <c r="J6" s="6" t="s">
        <v>17</v>
      </c>
      <c r="K6" s="9" t="s">
        <v>0</v>
      </c>
      <c r="L6" s="8"/>
      <c r="M6" s="10">
        <v>780</v>
      </c>
      <c r="N6" s="10">
        <f t="shared" ref="N6" si="0">N5+M5</f>
        <v>880</v>
      </c>
    </row>
    <row r="7" spans="1:14" s="11" customFormat="1" ht="21" customHeight="1" x14ac:dyDescent="0.25">
      <c r="A7" s="8"/>
      <c r="B7" s="8"/>
      <c r="C7" s="6" t="s">
        <v>16</v>
      </c>
      <c r="D7" s="9" t="s">
        <v>1</v>
      </c>
      <c r="E7" s="8"/>
      <c r="F7" s="10">
        <v>130</v>
      </c>
      <c r="G7" s="10">
        <f t="shared" ref="G7:G33" si="1">G6+F6</f>
        <v>398700</v>
      </c>
      <c r="H7" s="8"/>
      <c r="I7" s="8">
        <v>724</v>
      </c>
      <c r="J7" s="6" t="s">
        <v>93</v>
      </c>
      <c r="K7" s="9" t="s">
        <v>0</v>
      </c>
      <c r="L7" s="8">
        <v>604</v>
      </c>
      <c r="M7" s="10">
        <v>20950</v>
      </c>
      <c r="N7" s="10">
        <f>N6+M6</f>
        <v>1660</v>
      </c>
    </row>
    <row r="8" spans="1:14" s="11" customFormat="1" ht="21" customHeight="1" x14ac:dyDescent="0.25">
      <c r="A8" s="8"/>
      <c r="B8" s="8"/>
      <c r="C8" s="6" t="s">
        <v>31</v>
      </c>
      <c r="D8" s="9" t="s">
        <v>1</v>
      </c>
      <c r="E8" s="8"/>
      <c r="F8" s="10">
        <v>40000</v>
      </c>
      <c r="G8" s="10">
        <f t="shared" si="1"/>
        <v>398830</v>
      </c>
      <c r="H8" s="8"/>
      <c r="I8" s="8">
        <v>725</v>
      </c>
      <c r="J8" s="6" t="s">
        <v>30</v>
      </c>
      <c r="K8" s="9" t="s">
        <v>0</v>
      </c>
      <c r="L8" s="8">
        <v>609</v>
      </c>
      <c r="M8" s="10">
        <v>14590</v>
      </c>
      <c r="N8" s="10">
        <f t="shared" ref="N8:N42" si="2">N7+M7</f>
        <v>22610</v>
      </c>
    </row>
    <row r="9" spans="1:14" s="11" customFormat="1" ht="21" customHeight="1" x14ac:dyDescent="0.25">
      <c r="A9" s="8"/>
      <c r="B9" s="8"/>
      <c r="C9" s="6" t="s">
        <v>35</v>
      </c>
      <c r="D9" s="9" t="s">
        <v>1</v>
      </c>
      <c r="E9" s="8"/>
      <c r="F9" s="10">
        <v>10000</v>
      </c>
      <c r="G9" s="10">
        <f t="shared" si="1"/>
        <v>438830</v>
      </c>
      <c r="H9" s="8"/>
      <c r="I9" s="8">
        <v>726</v>
      </c>
      <c r="J9" s="6" t="s">
        <v>94</v>
      </c>
      <c r="K9" s="9" t="s">
        <v>0</v>
      </c>
      <c r="L9" s="8">
        <v>608</v>
      </c>
      <c r="M9" s="10">
        <v>4890</v>
      </c>
      <c r="N9" s="10">
        <f t="shared" si="2"/>
        <v>37200</v>
      </c>
    </row>
    <row r="10" spans="1:14" s="11" customFormat="1" ht="21" customHeight="1" x14ac:dyDescent="0.25">
      <c r="A10" s="8"/>
      <c r="B10" s="8"/>
      <c r="C10" s="6" t="s">
        <v>58</v>
      </c>
      <c r="D10" s="9" t="s">
        <v>1</v>
      </c>
      <c r="E10" s="8"/>
      <c r="F10" s="10">
        <v>50000</v>
      </c>
      <c r="G10" s="10">
        <f t="shared" si="1"/>
        <v>448830</v>
      </c>
      <c r="H10" s="8"/>
      <c r="I10" s="8">
        <v>727</v>
      </c>
      <c r="J10" s="6" t="s">
        <v>31</v>
      </c>
      <c r="K10" s="9" t="s">
        <v>0</v>
      </c>
      <c r="L10" s="8">
        <v>607</v>
      </c>
      <c r="M10" s="10">
        <v>13880</v>
      </c>
      <c r="N10" s="10">
        <f t="shared" si="2"/>
        <v>42090</v>
      </c>
    </row>
    <row r="11" spans="1:14" s="11" customFormat="1" ht="21" customHeight="1" x14ac:dyDescent="0.25">
      <c r="A11" s="8"/>
      <c r="B11" s="8"/>
      <c r="C11" s="6" t="s">
        <v>68</v>
      </c>
      <c r="D11" s="9" t="s">
        <v>1</v>
      </c>
      <c r="E11" s="8"/>
      <c r="F11" s="10">
        <v>5630</v>
      </c>
      <c r="G11" s="10">
        <f t="shared" si="1"/>
        <v>498830</v>
      </c>
      <c r="H11" s="8"/>
      <c r="I11" s="8">
        <v>728</v>
      </c>
      <c r="J11" s="6" t="s">
        <v>35</v>
      </c>
      <c r="K11" s="9" t="s">
        <v>0</v>
      </c>
      <c r="L11" s="8">
        <v>605</v>
      </c>
      <c r="M11" s="10">
        <v>4070</v>
      </c>
      <c r="N11" s="10">
        <f t="shared" si="2"/>
        <v>55970</v>
      </c>
    </row>
    <row r="12" spans="1:14" s="11" customFormat="1" ht="21" customHeight="1" x14ac:dyDescent="0.25">
      <c r="A12" s="8"/>
      <c r="B12" s="8"/>
      <c r="C12" s="6" t="s">
        <v>83</v>
      </c>
      <c r="D12" s="9" t="s">
        <v>1</v>
      </c>
      <c r="E12" s="8"/>
      <c r="F12" s="10">
        <v>6740</v>
      </c>
      <c r="G12" s="10">
        <f t="shared" si="1"/>
        <v>504460</v>
      </c>
      <c r="H12" s="8"/>
      <c r="I12" s="8">
        <v>729</v>
      </c>
      <c r="J12" s="6" t="s">
        <v>46</v>
      </c>
      <c r="K12" s="9" t="s">
        <v>0</v>
      </c>
      <c r="L12" s="8">
        <v>618</v>
      </c>
      <c r="M12" s="10">
        <v>6180</v>
      </c>
      <c r="N12" s="10">
        <f t="shared" si="2"/>
        <v>60040</v>
      </c>
    </row>
    <row r="13" spans="1:14" s="11" customFormat="1" ht="21" customHeight="1" x14ac:dyDescent="0.25">
      <c r="A13" s="8"/>
      <c r="B13" s="8"/>
      <c r="C13" s="6" t="s">
        <v>84</v>
      </c>
      <c r="D13" s="9" t="s">
        <v>1</v>
      </c>
      <c r="E13" s="8"/>
      <c r="F13" s="10">
        <v>6120</v>
      </c>
      <c r="G13" s="10">
        <f t="shared" si="1"/>
        <v>511200</v>
      </c>
      <c r="H13" s="8"/>
      <c r="I13" s="8">
        <v>730</v>
      </c>
      <c r="J13" s="6" t="s">
        <v>46</v>
      </c>
      <c r="K13" s="9" t="s">
        <v>0</v>
      </c>
      <c r="L13" s="8">
        <v>628</v>
      </c>
      <c r="M13" s="10">
        <v>2400</v>
      </c>
      <c r="N13" s="10">
        <f t="shared" si="2"/>
        <v>66220</v>
      </c>
    </row>
    <row r="14" spans="1:14" s="11" customFormat="1" ht="21" customHeight="1" x14ac:dyDescent="0.25">
      <c r="A14" s="8"/>
      <c r="B14" s="8"/>
      <c r="C14" s="6" t="s">
        <v>85</v>
      </c>
      <c r="D14" s="9" t="s">
        <v>1</v>
      </c>
      <c r="E14" s="8"/>
      <c r="F14" s="10">
        <v>2320</v>
      </c>
      <c r="G14" s="10">
        <f t="shared" si="1"/>
        <v>517320</v>
      </c>
      <c r="H14" s="8"/>
      <c r="I14" s="8">
        <v>731</v>
      </c>
      <c r="J14" s="6" t="s">
        <v>58</v>
      </c>
      <c r="K14" s="9" t="s">
        <v>0</v>
      </c>
      <c r="L14" s="8">
        <v>602</v>
      </c>
      <c r="M14" s="10">
        <v>38070</v>
      </c>
      <c r="N14" s="10">
        <f t="shared" si="2"/>
        <v>68620</v>
      </c>
    </row>
    <row r="15" spans="1:14" s="11" customFormat="1" ht="21" customHeight="1" x14ac:dyDescent="0.25">
      <c r="A15" s="10"/>
      <c r="B15" s="10"/>
      <c r="C15" s="6" t="s">
        <v>62</v>
      </c>
      <c r="D15" s="9" t="s">
        <v>1</v>
      </c>
      <c r="E15" s="8"/>
      <c r="F15" s="10">
        <v>7060</v>
      </c>
      <c r="G15" s="10">
        <f t="shared" si="1"/>
        <v>519640</v>
      </c>
      <c r="H15" s="10"/>
      <c r="I15" s="8">
        <v>732</v>
      </c>
      <c r="J15" s="6" t="s">
        <v>36</v>
      </c>
      <c r="K15" s="9" t="s">
        <v>0</v>
      </c>
      <c r="L15" s="8">
        <v>610</v>
      </c>
      <c r="M15" s="10">
        <v>7050</v>
      </c>
      <c r="N15" s="10">
        <f t="shared" si="2"/>
        <v>106690</v>
      </c>
    </row>
    <row r="16" spans="1:14" s="11" customFormat="1" ht="21" customHeight="1" x14ac:dyDescent="0.25">
      <c r="A16" s="10"/>
      <c r="B16" s="10"/>
      <c r="C16" s="6" t="s">
        <v>86</v>
      </c>
      <c r="D16" s="9" t="s">
        <v>1</v>
      </c>
      <c r="E16" s="8"/>
      <c r="F16" s="10">
        <v>8130</v>
      </c>
      <c r="G16" s="10">
        <f t="shared" si="1"/>
        <v>526700</v>
      </c>
      <c r="H16" s="10"/>
      <c r="I16" s="8">
        <v>733</v>
      </c>
      <c r="J16" s="6" t="s">
        <v>59</v>
      </c>
      <c r="K16" s="9" t="s">
        <v>0</v>
      </c>
      <c r="L16" s="8">
        <v>606</v>
      </c>
      <c r="M16" s="10">
        <v>6250</v>
      </c>
      <c r="N16" s="10">
        <f t="shared" si="2"/>
        <v>113740</v>
      </c>
    </row>
    <row r="17" spans="1:14" s="11" customFormat="1" ht="21" customHeight="1" x14ac:dyDescent="0.25">
      <c r="A17" s="10"/>
      <c r="B17" s="10"/>
      <c r="C17" s="6" t="s">
        <v>41</v>
      </c>
      <c r="D17" s="9" t="s">
        <v>1</v>
      </c>
      <c r="E17" s="8"/>
      <c r="F17" s="10">
        <v>2000</v>
      </c>
      <c r="G17" s="10">
        <f t="shared" si="1"/>
        <v>534830</v>
      </c>
      <c r="H17" s="10"/>
      <c r="I17" s="8">
        <v>734</v>
      </c>
      <c r="J17" s="6" t="s">
        <v>33</v>
      </c>
      <c r="K17" s="9" t="s">
        <v>0</v>
      </c>
      <c r="L17" s="8">
        <v>603</v>
      </c>
      <c r="M17" s="10">
        <v>33140</v>
      </c>
      <c r="N17" s="10">
        <f t="shared" si="2"/>
        <v>119990</v>
      </c>
    </row>
    <row r="18" spans="1:14" s="11" customFormat="1" ht="21" customHeight="1" x14ac:dyDescent="0.25">
      <c r="A18" s="10"/>
      <c r="B18" s="10"/>
      <c r="C18" s="6" t="s">
        <v>87</v>
      </c>
      <c r="D18" s="9" t="s">
        <v>1</v>
      </c>
      <c r="E18" s="8"/>
      <c r="F18" s="10">
        <v>810</v>
      </c>
      <c r="G18" s="10">
        <f t="shared" si="1"/>
        <v>536830</v>
      </c>
      <c r="H18" s="10"/>
      <c r="I18" s="8">
        <v>735</v>
      </c>
      <c r="J18" s="6" t="s">
        <v>34</v>
      </c>
      <c r="K18" s="9" t="s">
        <v>0</v>
      </c>
      <c r="L18" s="8">
        <v>601</v>
      </c>
      <c r="M18" s="10">
        <v>42330</v>
      </c>
      <c r="N18" s="10">
        <f t="shared" si="2"/>
        <v>153130</v>
      </c>
    </row>
    <row r="19" spans="1:14" s="11" customFormat="1" ht="21" customHeight="1" x14ac:dyDescent="0.25">
      <c r="A19" s="10"/>
      <c r="B19" s="10"/>
      <c r="C19" s="6" t="s">
        <v>88</v>
      </c>
      <c r="D19" s="9" t="s">
        <v>1</v>
      </c>
      <c r="E19" s="8"/>
      <c r="F19" s="10">
        <v>2960</v>
      </c>
      <c r="G19" s="10">
        <f t="shared" si="1"/>
        <v>537640</v>
      </c>
      <c r="H19" s="10"/>
      <c r="I19" s="8">
        <v>736</v>
      </c>
      <c r="J19" s="6" t="s">
        <v>83</v>
      </c>
      <c r="K19" s="9" t="s">
        <v>0</v>
      </c>
      <c r="L19" s="8">
        <v>611</v>
      </c>
      <c r="M19" s="10">
        <v>3650</v>
      </c>
      <c r="N19" s="10">
        <f t="shared" si="2"/>
        <v>195460</v>
      </c>
    </row>
    <row r="20" spans="1:14" s="11" customFormat="1" ht="21" customHeight="1" x14ac:dyDescent="0.25">
      <c r="A20" s="10"/>
      <c r="B20" s="10"/>
      <c r="C20" s="6" t="s">
        <v>89</v>
      </c>
      <c r="D20" s="9" t="s">
        <v>1</v>
      </c>
      <c r="E20" s="8"/>
      <c r="F20" s="10">
        <v>4350</v>
      </c>
      <c r="G20" s="10">
        <f t="shared" si="1"/>
        <v>540600</v>
      </c>
      <c r="H20" s="10"/>
      <c r="I20" s="8">
        <v>737</v>
      </c>
      <c r="J20" s="6" t="s">
        <v>91</v>
      </c>
      <c r="K20" s="9" t="s">
        <v>0</v>
      </c>
      <c r="L20" s="8">
        <v>630</v>
      </c>
      <c r="M20" s="10">
        <v>7630</v>
      </c>
      <c r="N20" s="10">
        <f t="shared" si="2"/>
        <v>199110</v>
      </c>
    </row>
    <row r="21" spans="1:14" s="11" customFormat="1" ht="21" customHeight="1" x14ac:dyDescent="0.25">
      <c r="A21" s="10"/>
      <c r="B21" s="10"/>
      <c r="C21" s="6" t="s">
        <v>90</v>
      </c>
      <c r="D21" s="9" t="s">
        <v>1</v>
      </c>
      <c r="E21" s="8"/>
      <c r="F21" s="10">
        <v>500</v>
      </c>
      <c r="G21" s="10">
        <f t="shared" si="1"/>
        <v>544950</v>
      </c>
      <c r="H21" s="10"/>
      <c r="I21" s="8">
        <v>738</v>
      </c>
      <c r="J21" s="6" t="s">
        <v>62</v>
      </c>
      <c r="K21" s="9" t="s">
        <v>0</v>
      </c>
      <c r="L21" s="8">
        <v>626</v>
      </c>
      <c r="M21" s="10">
        <v>1570</v>
      </c>
      <c r="N21" s="10">
        <f t="shared" si="2"/>
        <v>206740</v>
      </c>
    </row>
    <row r="22" spans="1:14" s="11" customFormat="1" ht="21" customHeight="1" x14ac:dyDescent="0.25">
      <c r="A22" s="10"/>
      <c r="B22" s="10"/>
      <c r="C22" s="6" t="s">
        <v>62</v>
      </c>
      <c r="D22" s="9" t="s">
        <v>1</v>
      </c>
      <c r="E22" s="8"/>
      <c r="F22" s="10">
        <v>3690</v>
      </c>
      <c r="G22" s="10">
        <f t="shared" si="1"/>
        <v>545450</v>
      </c>
      <c r="H22" s="10"/>
      <c r="I22" s="8">
        <v>739</v>
      </c>
      <c r="J22" s="6" t="s">
        <v>86</v>
      </c>
      <c r="K22" s="9" t="s">
        <v>0</v>
      </c>
      <c r="L22" s="8">
        <v>629</v>
      </c>
      <c r="M22" s="10">
        <v>1310</v>
      </c>
      <c r="N22" s="10">
        <f t="shared" si="2"/>
        <v>208310</v>
      </c>
    </row>
    <row r="23" spans="1:14" s="11" customFormat="1" ht="21" customHeight="1" x14ac:dyDescent="0.25">
      <c r="A23" s="10"/>
      <c r="B23" s="10"/>
      <c r="C23" s="6" t="s">
        <v>67</v>
      </c>
      <c r="D23" s="9" t="s">
        <v>1</v>
      </c>
      <c r="E23" s="8"/>
      <c r="F23" s="10">
        <v>910</v>
      </c>
      <c r="G23" s="10">
        <f t="shared" si="1"/>
        <v>549140</v>
      </c>
      <c r="H23" s="10"/>
      <c r="I23" s="8">
        <v>740</v>
      </c>
      <c r="J23" s="6" t="s">
        <v>63</v>
      </c>
      <c r="K23" s="9" t="s">
        <v>0</v>
      </c>
      <c r="L23" s="8">
        <v>621</v>
      </c>
      <c r="M23" s="10">
        <v>5640</v>
      </c>
      <c r="N23" s="10">
        <f t="shared" si="2"/>
        <v>209620</v>
      </c>
    </row>
    <row r="24" spans="1:14" s="11" customFormat="1" ht="21" customHeight="1" x14ac:dyDescent="0.25">
      <c r="A24" s="10"/>
      <c r="B24" s="10"/>
      <c r="C24" s="6" t="s">
        <v>91</v>
      </c>
      <c r="D24" s="9" t="s">
        <v>1</v>
      </c>
      <c r="E24" s="8"/>
      <c r="F24" s="10">
        <v>7420</v>
      </c>
      <c r="G24" s="10">
        <f t="shared" si="1"/>
        <v>550050</v>
      </c>
      <c r="H24" s="10"/>
      <c r="I24" s="8">
        <v>741</v>
      </c>
      <c r="J24" s="6" t="s">
        <v>64</v>
      </c>
      <c r="K24" s="9" t="s">
        <v>0</v>
      </c>
      <c r="L24" s="8">
        <v>613</v>
      </c>
      <c r="M24" s="10">
        <v>8180</v>
      </c>
      <c r="N24" s="10">
        <f t="shared" si="2"/>
        <v>215260</v>
      </c>
    </row>
    <row r="25" spans="1:14" s="11" customFormat="1" ht="21" customHeight="1" x14ac:dyDescent="0.25">
      <c r="A25" s="10"/>
      <c r="B25" s="10"/>
      <c r="C25" s="6" t="s">
        <v>45</v>
      </c>
      <c r="D25" s="9" t="s">
        <v>1</v>
      </c>
      <c r="E25" s="8"/>
      <c r="F25" s="10">
        <v>9660</v>
      </c>
      <c r="G25" s="10">
        <f t="shared" si="1"/>
        <v>557470</v>
      </c>
      <c r="H25" s="10"/>
      <c r="I25" s="8">
        <v>742</v>
      </c>
      <c r="J25" s="6" t="s">
        <v>95</v>
      </c>
      <c r="K25" s="9" t="s">
        <v>0</v>
      </c>
      <c r="L25" s="8">
        <v>627</v>
      </c>
      <c r="M25" s="10">
        <v>560</v>
      </c>
      <c r="N25" s="10">
        <f t="shared" si="2"/>
        <v>223440</v>
      </c>
    </row>
    <row r="26" spans="1:14" s="11" customFormat="1" ht="21" customHeight="1" x14ac:dyDescent="0.25">
      <c r="A26" s="10"/>
      <c r="B26" s="10"/>
      <c r="C26" s="6" t="s">
        <v>63</v>
      </c>
      <c r="D26" s="9" t="s">
        <v>1</v>
      </c>
      <c r="E26" s="8"/>
      <c r="F26" s="10">
        <v>1900</v>
      </c>
      <c r="G26" s="10">
        <f t="shared" si="1"/>
        <v>567130</v>
      </c>
      <c r="H26" s="10"/>
      <c r="I26" s="8">
        <v>743</v>
      </c>
      <c r="J26" s="6" t="s">
        <v>96</v>
      </c>
      <c r="K26" s="9" t="s">
        <v>0</v>
      </c>
      <c r="L26" s="8">
        <v>619</v>
      </c>
      <c r="M26" s="10">
        <v>12710</v>
      </c>
      <c r="N26" s="10">
        <f t="shared" si="2"/>
        <v>224000</v>
      </c>
    </row>
    <row r="27" spans="1:14" s="11" customFormat="1" ht="21" customHeight="1" x14ac:dyDescent="0.25">
      <c r="A27" s="10"/>
      <c r="B27" s="10"/>
      <c r="C27" s="6" t="s">
        <v>64</v>
      </c>
      <c r="D27" s="9" t="s">
        <v>1</v>
      </c>
      <c r="E27" s="8"/>
      <c r="F27" s="10">
        <v>4700</v>
      </c>
      <c r="G27" s="10">
        <f t="shared" si="1"/>
        <v>569030</v>
      </c>
      <c r="H27" s="10"/>
      <c r="I27" s="8">
        <v>744</v>
      </c>
      <c r="J27" s="6" t="s">
        <v>97</v>
      </c>
      <c r="K27" s="9" t="s">
        <v>0</v>
      </c>
      <c r="L27" s="8">
        <v>616</v>
      </c>
      <c r="M27" s="10">
        <v>2960</v>
      </c>
      <c r="N27" s="10">
        <f t="shared" si="2"/>
        <v>236710</v>
      </c>
    </row>
    <row r="28" spans="1:14" s="11" customFormat="1" ht="21" customHeight="1" x14ac:dyDescent="0.25">
      <c r="A28" s="10"/>
      <c r="B28" s="10"/>
      <c r="C28" s="6" t="s">
        <v>69</v>
      </c>
      <c r="D28" s="9" t="s">
        <v>1</v>
      </c>
      <c r="E28" s="8"/>
      <c r="F28" s="10">
        <v>1750</v>
      </c>
      <c r="G28" s="10">
        <f t="shared" si="1"/>
        <v>573730</v>
      </c>
      <c r="H28" s="10"/>
      <c r="I28" s="8">
        <v>745</v>
      </c>
      <c r="J28" s="6" t="s">
        <v>71</v>
      </c>
      <c r="K28" s="9" t="s">
        <v>0</v>
      </c>
      <c r="L28" s="8">
        <v>615</v>
      </c>
      <c r="M28" s="10">
        <v>8280</v>
      </c>
      <c r="N28" s="10">
        <f t="shared" si="2"/>
        <v>239670</v>
      </c>
    </row>
    <row r="29" spans="1:14" s="11" customFormat="1" ht="21" customHeight="1" x14ac:dyDescent="0.25">
      <c r="A29" s="10"/>
      <c r="B29" s="10"/>
      <c r="C29" s="6" t="s">
        <v>70</v>
      </c>
      <c r="D29" s="9" t="s">
        <v>1</v>
      </c>
      <c r="E29" s="8"/>
      <c r="F29" s="10">
        <v>1750</v>
      </c>
      <c r="G29" s="10">
        <f t="shared" si="1"/>
        <v>575480</v>
      </c>
      <c r="H29" s="10"/>
      <c r="I29" s="8">
        <v>746</v>
      </c>
      <c r="J29" s="6" t="s">
        <v>98</v>
      </c>
      <c r="K29" s="9" t="s">
        <v>0</v>
      </c>
      <c r="L29" s="8">
        <v>612</v>
      </c>
      <c r="M29" s="10">
        <v>4660</v>
      </c>
      <c r="N29" s="10">
        <f t="shared" si="2"/>
        <v>247950</v>
      </c>
    </row>
    <row r="30" spans="1:14" s="11" customFormat="1" ht="21" customHeight="1" x14ac:dyDescent="0.25">
      <c r="A30" s="10"/>
      <c r="B30" s="10"/>
      <c r="C30" s="6" t="s">
        <v>71</v>
      </c>
      <c r="D30" s="9" t="s">
        <v>1</v>
      </c>
      <c r="E30" s="8"/>
      <c r="F30" s="10">
        <v>2560</v>
      </c>
      <c r="G30" s="10">
        <f t="shared" si="1"/>
        <v>577230</v>
      </c>
      <c r="H30" s="10"/>
      <c r="I30" s="8">
        <v>747</v>
      </c>
      <c r="J30" s="6" t="s">
        <v>99</v>
      </c>
      <c r="K30" s="9" t="s">
        <v>0</v>
      </c>
      <c r="L30" s="8">
        <v>624</v>
      </c>
      <c r="M30" s="10">
        <v>3010</v>
      </c>
      <c r="N30" s="10">
        <f t="shared" si="2"/>
        <v>252610</v>
      </c>
    </row>
    <row r="31" spans="1:14" s="11" customFormat="1" ht="21" customHeight="1" x14ac:dyDescent="0.25">
      <c r="A31" s="10"/>
      <c r="B31" s="10"/>
      <c r="C31" s="6" t="s">
        <v>75</v>
      </c>
      <c r="D31" s="9" t="s">
        <v>1</v>
      </c>
      <c r="E31" s="8"/>
      <c r="F31" s="10">
        <v>3620</v>
      </c>
      <c r="G31" s="10">
        <f t="shared" si="1"/>
        <v>579790</v>
      </c>
      <c r="H31" s="10"/>
      <c r="I31" s="8">
        <v>748</v>
      </c>
      <c r="J31" s="6" t="s">
        <v>100</v>
      </c>
      <c r="K31" s="9" t="s">
        <v>0</v>
      </c>
      <c r="L31" s="8">
        <v>617</v>
      </c>
      <c r="M31" s="10">
        <v>3560</v>
      </c>
      <c r="N31" s="10">
        <f t="shared" si="2"/>
        <v>255620</v>
      </c>
    </row>
    <row r="32" spans="1:14" s="11" customFormat="1" ht="21" customHeight="1" x14ac:dyDescent="0.25">
      <c r="A32" s="10"/>
      <c r="B32" s="10"/>
      <c r="C32" s="6" t="s">
        <v>76</v>
      </c>
      <c r="D32" s="9" t="s">
        <v>1</v>
      </c>
      <c r="E32" s="8"/>
      <c r="F32" s="10">
        <v>1690</v>
      </c>
      <c r="G32" s="10">
        <f t="shared" si="1"/>
        <v>583410</v>
      </c>
      <c r="H32" s="10"/>
      <c r="I32" s="8">
        <v>749</v>
      </c>
      <c r="J32" s="6" t="s">
        <v>40</v>
      </c>
      <c r="K32" s="9" t="s">
        <v>0</v>
      </c>
      <c r="L32" s="8">
        <v>625</v>
      </c>
      <c r="M32" s="10">
        <v>2520</v>
      </c>
      <c r="N32" s="10">
        <f t="shared" si="2"/>
        <v>259180</v>
      </c>
    </row>
    <row r="33" spans="1:14" s="11" customFormat="1" ht="21" customHeight="1" x14ac:dyDescent="0.25">
      <c r="A33" s="10"/>
      <c r="B33" s="10"/>
      <c r="C33" s="6" t="s">
        <v>92</v>
      </c>
      <c r="D33" s="9" t="s">
        <v>1</v>
      </c>
      <c r="E33" s="8"/>
      <c r="F33" s="10">
        <v>3000</v>
      </c>
      <c r="G33" s="10">
        <f t="shared" si="1"/>
        <v>585100</v>
      </c>
      <c r="H33" s="10"/>
      <c r="I33" s="8">
        <v>750</v>
      </c>
      <c r="J33" s="6" t="s">
        <v>67</v>
      </c>
      <c r="K33" s="9" t="s">
        <v>0</v>
      </c>
      <c r="L33" s="8">
        <v>620</v>
      </c>
      <c r="M33" s="10">
        <v>5400</v>
      </c>
      <c r="N33" s="10">
        <f t="shared" si="2"/>
        <v>261700</v>
      </c>
    </row>
    <row r="34" spans="1:14" s="11" customFormat="1" ht="21" customHeight="1" x14ac:dyDescent="0.25">
      <c r="A34" s="10"/>
      <c r="B34" s="10"/>
      <c r="C34" s="6" t="s">
        <v>49</v>
      </c>
      <c r="D34" s="9" t="s">
        <v>1</v>
      </c>
      <c r="E34" s="10"/>
      <c r="F34" s="10">
        <v>1080</v>
      </c>
      <c r="G34" s="10">
        <f>G33+F33</f>
        <v>588100</v>
      </c>
      <c r="H34" s="10"/>
      <c r="I34" s="8">
        <v>751</v>
      </c>
      <c r="J34" s="6" t="s">
        <v>101</v>
      </c>
      <c r="K34" s="9" t="s">
        <v>0</v>
      </c>
      <c r="L34" s="8">
        <v>623</v>
      </c>
      <c r="M34" s="10">
        <v>5730</v>
      </c>
      <c r="N34" s="10">
        <f t="shared" si="2"/>
        <v>267100</v>
      </c>
    </row>
    <row r="35" spans="1:14" s="11" customFormat="1" ht="21" customHeight="1" x14ac:dyDescent="0.25">
      <c r="A35" s="19"/>
      <c r="B35" s="10"/>
      <c r="C35" s="27" t="s">
        <v>72</v>
      </c>
      <c r="D35" s="9" t="s">
        <v>1</v>
      </c>
      <c r="E35" s="10"/>
      <c r="F35" s="10">
        <v>1130</v>
      </c>
      <c r="G35" s="10">
        <f t="shared" ref="G35:G42" si="3">G34+F34</f>
        <v>589180</v>
      </c>
      <c r="H35" s="10"/>
      <c r="I35" s="8">
        <v>752</v>
      </c>
      <c r="J35" s="6" t="s">
        <v>89</v>
      </c>
      <c r="K35" s="9" t="s">
        <v>0</v>
      </c>
      <c r="L35" s="8">
        <v>622</v>
      </c>
      <c r="M35" s="10">
        <v>6480</v>
      </c>
      <c r="N35" s="10">
        <f t="shared" si="2"/>
        <v>272830</v>
      </c>
    </row>
    <row r="36" spans="1:14" s="11" customFormat="1" ht="21" customHeight="1" x14ac:dyDescent="0.25">
      <c r="A36" s="19"/>
      <c r="B36" s="10"/>
      <c r="C36" s="27" t="s">
        <v>33</v>
      </c>
      <c r="D36" s="9" t="s">
        <v>1</v>
      </c>
      <c r="E36" s="10"/>
      <c r="F36" s="10">
        <v>1300</v>
      </c>
      <c r="G36" s="10">
        <f t="shared" si="3"/>
        <v>590310</v>
      </c>
      <c r="H36" s="10"/>
      <c r="I36" s="8">
        <v>753</v>
      </c>
      <c r="J36" s="28" t="s">
        <v>102</v>
      </c>
      <c r="K36" s="9" t="s">
        <v>0</v>
      </c>
      <c r="L36" s="8">
        <v>614</v>
      </c>
      <c r="M36" s="10">
        <v>1280</v>
      </c>
      <c r="N36" s="10">
        <f t="shared" si="2"/>
        <v>279310</v>
      </c>
    </row>
    <row r="37" spans="1:14" s="11" customFormat="1" ht="21" customHeight="1" x14ac:dyDescent="0.25">
      <c r="A37" s="19"/>
      <c r="B37" s="10"/>
      <c r="C37" s="27" t="s">
        <v>52</v>
      </c>
      <c r="D37" s="9" t="s">
        <v>1</v>
      </c>
      <c r="E37" s="10"/>
      <c r="F37" s="10">
        <v>31980</v>
      </c>
      <c r="G37" s="10">
        <f t="shared" si="3"/>
        <v>591610</v>
      </c>
      <c r="H37" s="10"/>
      <c r="I37" s="8">
        <v>754</v>
      </c>
      <c r="J37" s="27" t="s">
        <v>52</v>
      </c>
      <c r="K37" s="9" t="s">
        <v>0</v>
      </c>
      <c r="L37" s="8">
        <v>631</v>
      </c>
      <c r="M37" s="10">
        <v>31980</v>
      </c>
      <c r="N37" s="10">
        <f t="shared" si="2"/>
        <v>280590</v>
      </c>
    </row>
    <row r="38" spans="1:14" s="11" customFormat="1" ht="21" customHeight="1" x14ac:dyDescent="0.25">
      <c r="A38" s="19"/>
      <c r="B38" s="10"/>
      <c r="C38" s="20"/>
      <c r="D38" s="22" t="s">
        <v>1</v>
      </c>
      <c r="E38" s="10"/>
      <c r="F38" s="10"/>
      <c r="G38" s="10">
        <f t="shared" si="3"/>
        <v>623590</v>
      </c>
      <c r="H38" s="10"/>
      <c r="I38" s="10"/>
      <c r="J38" s="24"/>
      <c r="K38" s="9"/>
      <c r="L38" s="10"/>
      <c r="M38" s="10"/>
      <c r="N38" s="10">
        <f t="shared" si="2"/>
        <v>312570</v>
      </c>
    </row>
    <row r="39" spans="1:14" s="11" customFormat="1" ht="21" customHeight="1" x14ac:dyDescent="0.25">
      <c r="A39" s="19"/>
      <c r="B39" s="10"/>
      <c r="C39" s="8" t="s">
        <v>103</v>
      </c>
      <c r="D39" s="22" t="s">
        <v>1</v>
      </c>
      <c r="E39" s="10"/>
      <c r="F39" s="10"/>
      <c r="G39" s="23">
        <f t="shared" si="3"/>
        <v>623590</v>
      </c>
      <c r="H39" s="10"/>
      <c r="I39" s="10"/>
      <c r="J39" s="24"/>
      <c r="K39" s="9"/>
      <c r="L39" s="10"/>
      <c r="M39" s="10"/>
      <c r="N39" s="23">
        <f t="shared" si="2"/>
        <v>312570</v>
      </c>
    </row>
    <row r="40" spans="1:14" s="11" customFormat="1" ht="21" customHeight="1" x14ac:dyDescent="0.25">
      <c r="A40" s="19"/>
      <c r="B40" s="10"/>
      <c r="C40" s="8" t="s">
        <v>104</v>
      </c>
      <c r="D40" s="22" t="s">
        <v>1</v>
      </c>
      <c r="E40" s="10"/>
      <c r="F40" s="10"/>
      <c r="G40" s="23">
        <f t="shared" si="3"/>
        <v>623590</v>
      </c>
      <c r="H40" s="10"/>
      <c r="I40" s="10"/>
      <c r="J40" s="6" t="s">
        <v>81</v>
      </c>
      <c r="K40" s="9"/>
      <c r="L40" s="10"/>
      <c r="M40" s="10"/>
      <c r="N40" s="23">
        <f t="shared" si="2"/>
        <v>312570</v>
      </c>
    </row>
    <row r="41" spans="1:14" s="11" customFormat="1" ht="21" customHeight="1" x14ac:dyDescent="0.25">
      <c r="A41" s="19"/>
      <c r="B41" s="10"/>
      <c r="C41" s="8" t="s">
        <v>105</v>
      </c>
      <c r="D41" s="22" t="s">
        <v>1</v>
      </c>
      <c r="E41" s="10"/>
      <c r="F41" s="10"/>
      <c r="G41" s="23">
        <f t="shared" si="3"/>
        <v>623590</v>
      </c>
      <c r="H41" s="10"/>
      <c r="I41" s="10"/>
      <c r="J41" s="25" t="s">
        <v>80</v>
      </c>
      <c r="K41" s="9"/>
      <c r="L41" s="10"/>
      <c r="M41" s="10"/>
      <c r="N41" s="23">
        <f t="shared" si="2"/>
        <v>312570</v>
      </c>
    </row>
    <row r="42" spans="1:14" s="11" customFormat="1" ht="21" customHeight="1" x14ac:dyDescent="0.25">
      <c r="A42" s="19"/>
      <c r="B42" s="10"/>
      <c r="C42" s="21" t="s">
        <v>106</v>
      </c>
      <c r="D42" s="22" t="s">
        <v>1</v>
      </c>
      <c r="E42" s="10"/>
      <c r="F42" s="10"/>
      <c r="G42" s="23">
        <f t="shared" si="3"/>
        <v>623590</v>
      </c>
      <c r="H42" s="10"/>
      <c r="I42" s="10"/>
      <c r="J42" s="26" t="s">
        <v>82</v>
      </c>
      <c r="K42" s="9"/>
      <c r="L42" s="10"/>
      <c r="M42" s="10"/>
      <c r="N42" s="23">
        <f t="shared" si="2"/>
        <v>312570</v>
      </c>
    </row>
    <row r="43" spans="1:14" ht="31.5" customHeight="1" x14ac:dyDescent="0.25">
      <c r="A43" s="60" t="s">
        <v>9</v>
      </c>
      <c r="B43" s="60"/>
      <c r="C43" s="61"/>
      <c r="D43" s="66">
        <f>G38+F37</f>
        <v>655570</v>
      </c>
      <c r="E43" s="66"/>
      <c r="F43" s="66"/>
      <c r="G43" s="66"/>
      <c r="H43" s="54" t="s">
        <v>10</v>
      </c>
      <c r="I43" s="54"/>
      <c r="J43" s="55"/>
      <c r="K43" s="66">
        <f>N38+M37</f>
        <v>344550</v>
      </c>
      <c r="L43" s="66"/>
      <c r="M43" s="66"/>
      <c r="N43" s="66"/>
    </row>
    <row r="44" spans="1:14" ht="30.75" customHeight="1" x14ac:dyDescent="0.25">
      <c r="A44" s="54" t="s">
        <v>10</v>
      </c>
      <c r="B44" s="54"/>
      <c r="C44" s="55"/>
      <c r="D44" s="67">
        <f>K43</f>
        <v>344550</v>
      </c>
      <c r="E44" s="67"/>
      <c r="F44" s="67"/>
      <c r="G44" s="67"/>
      <c r="H44" s="52"/>
      <c r="I44" s="52"/>
      <c r="J44" s="13"/>
      <c r="K44" s="53"/>
      <c r="L44" s="53"/>
      <c r="M44" s="53"/>
      <c r="N44" s="14"/>
    </row>
    <row r="45" spans="1:14" ht="36.75" customHeight="1" x14ac:dyDescent="0.25">
      <c r="A45" s="62" t="s">
        <v>11</v>
      </c>
      <c r="B45" s="62"/>
      <c r="C45" s="63"/>
      <c r="D45" s="71">
        <f>D43-D44</f>
        <v>311020</v>
      </c>
      <c r="E45" s="71"/>
      <c r="F45" s="71"/>
      <c r="G45" s="71"/>
      <c r="H45" s="52"/>
      <c r="I45" s="52"/>
      <c r="J45" s="13"/>
      <c r="K45" s="51"/>
      <c r="L45" s="51"/>
      <c r="M45" s="51"/>
      <c r="N45" s="15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3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3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  <row r="53" spans="3:14" ht="21" customHeight="1" x14ac:dyDescent="0.25">
      <c r="C53" s="7"/>
      <c r="D53" s="4"/>
      <c r="E53" s="4"/>
      <c r="F53" s="4"/>
      <c r="G53" s="4"/>
      <c r="J53" s="7"/>
      <c r="K53" s="4"/>
      <c r="L53" s="4"/>
      <c r="M53" s="4"/>
      <c r="N53" s="4"/>
    </row>
    <row r="54" spans="3:14" ht="21" customHeight="1" x14ac:dyDescent="0.25">
      <c r="C54" s="7"/>
      <c r="D54" s="4"/>
      <c r="E54" s="4"/>
      <c r="F54" s="4"/>
      <c r="G54" s="4"/>
      <c r="J54" s="7"/>
      <c r="K54" s="4"/>
      <c r="L54" s="4"/>
      <c r="M54" s="4"/>
      <c r="N54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45:C45"/>
    <mergeCell ref="D45:G45"/>
    <mergeCell ref="H45:I45"/>
    <mergeCell ref="K45:M45"/>
    <mergeCell ref="A4:E4"/>
    <mergeCell ref="A43:C43"/>
    <mergeCell ref="D43:G43"/>
    <mergeCell ref="H43:J43"/>
    <mergeCell ref="K43:N43"/>
    <mergeCell ref="A44:C44"/>
    <mergeCell ref="D44:G44"/>
    <mergeCell ref="H44:I44"/>
    <mergeCell ref="K44:M44"/>
  </mergeCells>
  <pageMargins left="0.33088235294117646" right="0" top="0.25" bottom="0" header="0.05" footer="0.0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N49"/>
  <sheetViews>
    <sheetView view="pageBreakPreview" topLeftCell="A17" zoomScale="115" zoomScaleNormal="145" zoomScaleSheetLayoutView="115" zoomScalePageLayoutView="85" workbookViewId="0">
      <selection activeCell="F35" sqref="F35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 t="s">
        <v>107</v>
      </c>
      <c r="D3" s="70" t="s">
        <v>4</v>
      </c>
      <c r="E3" s="70"/>
      <c r="F3" s="17" t="s">
        <v>3</v>
      </c>
      <c r="G3" s="3">
        <v>45599</v>
      </c>
      <c r="H3" s="69" t="s">
        <v>8</v>
      </c>
      <c r="I3" s="69"/>
      <c r="J3" s="18" t="s">
        <v>107</v>
      </c>
      <c r="K3" s="56" t="s">
        <v>5</v>
      </c>
      <c r="L3" s="56"/>
      <c r="M3" s="17" t="s">
        <v>3</v>
      </c>
      <c r="N3" s="3">
        <v>45599</v>
      </c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(2)'!D45</f>
        <v>311020</v>
      </c>
      <c r="G4" s="8" t="s">
        <v>2</v>
      </c>
      <c r="H4" s="10"/>
      <c r="I4" s="10"/>
      <c r="J4" s="6" t="s">
        <v>18</v>
      </c>
      <c r="K4" s="9" t="s">
        <v>0</v>
      </c>
      <c r="L4" s="10"/>
      <c r="M4" s="10">
        <v>560</v>
      </c>
      <c r="N4" s="8" t="s">
        <v>2</v>
      </c>
    </row>
    <row r="5" spans="1:14" s="11" customFormat="1" ht="21" customHeight="1" x14ac:dyDescent="0.25">
      <c r="A5" s="8"/>
      <c r="B5" s="8"/>
      <c r="C5" s="6" t="s">
        <v>14</v>
      </c>
      <c r="D5" s="9" t="s">
        <v>1</v>
      </c>
      <c r="E5" s="8"/>
      <c r="F5" s="10">
        <v>10010</v>
      </c>
      <c r="G5" s="10">
        <f>F4</f>
        <v>311020</v>
      </c>
      <c r="H5" s="8"/>
      <c r="I5" s="8"/>
      <c r="J5" s="6" t="s">
        <v>19</v>
      </c>
      <c r="K5" s="9" t="s">
        <v>0</v>
      </c>
      <c r="L5" s="8"/>
      <c r="M5" s="10">
        <v>690</v>
      </c>
      <c r="N5" s="10">
        <f>M4</f>
        <v>560</v>
      </c>
    </row>
    <row r="6" spans="1:14" s="11" customFormat="1" ht="21" customHeight="1" x14ac:dyDescent="0.25">
      <c r="A6" s="8"/>
      <c r="B6" s="8"/>
      <c r="C6" s="6" t="s">
        <v>15</v>
      </c>
      <c r="D6" s="9" t="s">
        <v>1</v>
      </c>
      <c r="E6" s="8"/>
      <c r="F6" s="10">
        <v>130</v>
      </c>
      <c r="G6" s="10">
        <f>G5+F5</f>
        <v>321030</v>
      </c>
      <c r="H6" s="8"/>
      <c r="I6" s="8"/>
      <c r="J6" s="6" t="s">
        <v>17</v>
      </c>
      <c r="K6" s="9" t="s">
        <v>0</v>
      </c>
      <c r="L6" s="8"/>
      <c r="M6" s="10">
        <v>700</v>
      </c>
      <c r="N6" s="10">
        <f t="shared" ref="N6" si="0">N5+M5</f>
        <v>1250</v>
      </c>
    </row>
    <row r="7" spans="1:14" s="11" customFormat="1" ht="21" customHeight="1" x14ac:dyDescent="0.25">
      <c r="A7" s="8"/>
      <c r="B7" s="8"/>
      <c r="C7" s="6" t="s">
        <v>16</v>
      </c>
      <c r="D7" s="9" t="s">
        <v>1</v>
      </c>
      <c r="E7" s="8"/>
      <c r="F7" s="10">
        <v>120</v>
      </c>
      <c r="G7" s="10">
        <f t="shared" ref="G7:G33" si="1">G6+F6</f>
        <v>321160</v>
      </c>
      <c r="H7" s="8"/>
      <c r="I7" s="8"/>
      <c r="J7" s="6" t="s">
        <v>109</v>
      </c>
      <c r="K7" s="9" t="s">
        <v>0</v>
      </c>
      <c r="L7" s="8"/>
      <c r="M7" s="10">
        <v>2060</v>
      </c>
      <c r="N7" s="10">
        <f>N6+M6</f>
        <v>1950</v>
      </c>
    </row>
    <row r="8" spans="1:14" s="11" customFormat="1" ht="21" customHeight="1" x14ac:dyDescent="0.25">
      <c r="A8" s="8"/>
      <c r="B8" s="8"/>
      <c r="C8" s="6" t="s">
        <v>108</v>
      </c>
      <c r="D8" s="9" t="s">
        <v>1</v>
      </c>
      <c r="E8" s="8"/>
      <c r="F8" s="10">
        <v>630</v>
      </c>
      <c r="G8" s="10">
        <f t="shared" si="1"/>
        <v>321280</v>
      </c>
      <c r="H8" s="8"/>
      <c r="I8" s="8">
        <v>755</v>
      </c>
      <c r="J8" s="6" t="s">
        <v>93</v>
      </c>
      <c r="K8" s="9" t="s">
        <v>0</v>
      </c>
      <c r="L8" s="8">
        <v>645</v>
      </c>
      <c r="M8" s="10">
        <v>6050</v>
      </c>
      <c r="N8" s="10">
        <f t="shared" ref="N8:N37" si="2">N7+M7</f>
        <v>4010</v>
      </c>
    </row>
    <row r="9" spans="1:14" s="11" customFormat="1" ht="21" customHeight="1" x14ac:dyDescent="0.25">
      <c r="A9" s="8"/>
      <c r="B9" s="8"/>
      <c r="C9" s="6" t="s">
        <v>35</v>
      </c>
      <c r="D9" s="9" t="s">
        <v>1</v>
      </c>
      <c r="E9" s="8"/>
      <c r="F9" s="10">
        <v>10000</v>
      </c>
      <c r="G9" s="10">
        <f t="shared" si="1"/>
        <v>321910</v>
      </c>
      <c r="H9" s="8"/>
      <c r="I9" s="8">
        <v>756</v>
      </c>
      <c r="J9" s="6" t="s">
        <v>30</v>
      </c>
      <c r="K9" s="9" t="s">
        <v>0</v>
      </c>
      <c r="L9" s="8">
        <v>636</v>
      </c>
      <c r="M9" s="10">
        <v>58300</v>
      </c>
      <c r="N9" s="10">
        <f t="shared" si="2"/>
        <v>10060</v>
      </c>
    </row>
    <row r="10" spans="1:14" s="11" customFormat="1" ht="21" customHeight="1" x14ac:dyDescent="0.25">
      <c r="A10" s="8"/>
      <c r="B10" s="8"/>
      <c r="C10" s="6" t="s">
        <v>33</v>
      </c>
      <c r="D10" s="9" t="s">
        <v>1</v>
      </c>
      <c r="E10" s="8"/>
      <c r="F10" s="10">
        <v>30000</v>
      </c>
      <c r="G10" s="10">
        <f t="shared" si="1"/>
        <v>331910</v>
      </c>
      <c r="H10" s="8"/>
      <c r="I10" s="8">
        <v>757</v>
      </c>
      <c r="J10" s="6" t="s">
        <v>35</v>
      </c>
      <c r="K10" s="9" t="s">
        <v>0</v>
      </c>
      <c r="L10" s="8">
        <v>647</v>
      </c>
      <c r="M10" s="10">
        <v>25380</v>
      </c>
      <c r="N10" s="10">
        <f t="shared" si="2"/>
        <v>68360</v>
      </c>
    </row>
    <row r="11" spans="1:14" s="11" customFormat="1" ht="21" customHeight="1" x14ac:dyDescent="0.25">
      <c r="A11" s="8"/>
      <c r="B11" s="8"/>
      <c r="C11" s="6" t="s">
        <v>34</v>
      </c>
      <c r="D11" s="9" t="s">
        <v>1</v>
      </c>
      <c r="E11" s="8"/>
      <c r="F11" s="10">
        <v>30000</v>
      </c>
      <c r="G11" s="10">
        <f t="shared" si="1"/>
        <v>361910</v>
      </c>
      <c r="H11" s="8"/>
      <c r="I11" s="8">
        <v>758</v>
      </c>
      <c r="J11" s="6" t="s">
        <v>46</v>
      </c>
      <c r="K11" s="9" t="s">
        <v>0</v>
      </c>
      <c r="L11" s="8">
        <v>642</v>
      </c>
      <c r="M11" s="10">
        <v>8550</v>
      </c>
      <c r="N11" s="10">
        <f t="shared" si="2"/>
        <v>93740</v>
      </c>
    </row>
    <row r="12" spans="1:14" s="11" customFormat="1" ht="21" customHeight="1" x14ac:dyDescent="0.25">
      <c r="A12" s="8"/>
      <c r="B12" s="8"/>
      <c r="C12" s="6" t="s">
        <v>115</v>
      </c>
      <c r="D12" s="9" t="s">
        <v>1</v>
      </c>
      <c r="E12" s="8"/>
      <c r="F12" s="10">
        <v>1660</v>
      </c>
      <c r="G12" s="10">
        <f t="shared" si="1"/>
        <v>391910</v>
      </c>
      <c r="H12" s="8"/>
      <c r="I12" s="8">
        <v>759</v>
      </c>
      <c r="J12" s="6" t="s">
        <v>58</v>
      </c>
      <c r="K12" s="9" t="s">
        <v>0</v>
      </c>
      <c r="L12" s="8">
        <v>633</v>
      </c>
      <c r="M12" s="10">
        <v>11830</v>
      </c>
      <c r="N12" s="10">
        <f t="shared" si="2"/>
        <v>102290</v>
      </c>
    </row>
    <row r="13" spans="1:14" s="11" customFormat="1" ht="21" customHeight="1" x14ac:dyDescent="0.25">
      <c r="A13" s="8"/>
      <c r="B13" s="8"/>
      <c r="C13" s="6" t="s">
        <v>114</v>
      </c>
      <c r="D13" s="9" t="s">
        <v>1</v>
      </c>
      <c r="E13" s="8"/>
      <c r="F13" s="10">
        <v>14610</v>
      </c>
      <c r="G13" s="10">
        <f t="shared" si="1"/>
        <v>393570</v>
      </c>
      <c r="H13" s="8"/>
      <c r="I13" s="8">
        <v>760</v>
      </c>
      <c r="J13" s="6" t="s">
        <v>59</v>
      </c>
      <c r="K13" s="9" t="s">
        <v>0</v>
      </c>
      <c r="L13" s="8">
        <v>646</v>
      </c>
      <c r="M13" s="10">
        <v>8210</v>
      </c>
      <c r="N13" s="10">
        <f t="shared" si="2"/>
        <v>114120</v>
      </c>
    </row>
    <row r="14" spans="1:14" s="11" customFormat="1" ht="21" customHeight="1" x14ac:dyDescent="0.25">
      <c r="A14" s="8"/>
      <c r="B14" s="8"/>
      <c r="C14" s="6" t="s">
        <v>102</v>
      </c>
      <c r="D14" s="9" t="s">
        <v>1</v>
      </c>
      <c r="E14" s="8"/>
      <c r="F14" s="10">
        <v>1280</v>
      </c>
      <c r="G14" s="10">
        <f t="shared" si="1"/>
        <v>408180</v>
      </c>
      <c r="H14" s="8"/>
      <c r="I14" s="8">
        <v>761</v>
      </c>
      <c r="J14" s="6" t="s">
        <v>33</v>
      </c>
      <c r="K14" s="9" t="s">
        <v>0</v>
      </c>
      <c r="L14" s="8">
        <v>635</v>
      </c>
      <c r="M14" s="10">
        <v>15480</v>
      </c>
      <c r="N14" s="10">
        <f t="shared" si="2"/>
        <v>122330</v>
      </c>
    </row>
    <row r="15" spans="1:14" s="11" customFormat="1" ht="21" customHeight="1" x14ac:dyDescent="0.25">
      <c r="A15" s="10"/>
      <c r="B15" s="10"/>
      <c r="C15" s="6" t="s">
        <v>73</v>
      </c>
      <c r="D15" s="9" t="s">
        <v>1</v>
      </c>
      <c r="E15" s="8"/>
      <c r="F15" s="10">
        <v>1080</v>
      </c>
      <c r="G15" s="10">
        <f t="shared" si="1"/>
        <v>409460</v>
      </c>
      <c r="H15" s="10"/>
      <c r="I15" s="8">
        <v>762</v>
      </c>
      <c r="J15" s="6" t="s">
        <v>34</v>
      </c>
      <c r="K15" s="9" t="s">
        <v>0</v>
      </c>
      <c r="L15" s="8">
        <v>634</v>
      </c>
      <c r="M15" s="10">
        <v>2050</v>
      </c>
      <c r="N15" s="10">
        <f t="shared" si="2"/>
        <v>137810</v>
      </c>
    </row>
    <row r="16" spans="1:14" s="11" customFormat="1" ht="21" customHeight="1" x14ac:dyDescent="0.25">
      <c r="A16" s="10"/>
      <c r="B16" s="10"/>
      <c r="C16" s="6" t="s">
        <v>98</v>
      </c>
      <c r="D16" s="9" t="s">
        <v>1</v>
      </c>
      <c r="E16" s="8"/>
      <c r="F16" s="10">
        <v>4660</v>
      </c>
      <c r="G16" s="10">
        <f t="shared" si="1"/>
        <v>410540</v>
      </c>
      <c r="H16" s="10"/>
      <c r="I16" s="8">
        <v>763</v>
      </c>
      <c r="J16" s="6" t="s">
        <v>60</v>
      </c>
      <c r="K16" s="9" t="s">
        <v>0</v>
      </c>
      <c r="L16" s="8">
        <v>695</v>
      </c>
      <c r="M16" s="10">
        <v>9800</v>
      </c>
      <c r="N16" s="10">
        <f t="shared" si="2"/>
        <v>139860</v>
      </c>
    </row>
    <row r="17" spans="1:14" s="11" customFormat="1" ht="21" customHeight="1" x14ac:dyDescent="0.25">
      <c r="A17" s="10"/>
      <c r="B17" s="10"/>
      <c r="C17" s="6" t="s">
        <v>64</v>
      </c>
      <c r="D17" s="9" t="s">
        <v>1</v>
      </c>
      <c r="E17" s="8"/>
      <c r="F17" s="10">
        <v>8180</v>
      </c>
      <c r="G17" s="10">
        <f t="shared" si="1"/>
        <v>415200</v>
      </c>
      <c r="H17" s="10"/>
      <c r="I17" s="8">
        <v>764</v>
      </c>
      <c r="J17" s="6" t="s">
        <v>62</v>
      </c>
      <c r="K17" s="9" t="s">
        <v>0</v>
      </c>
      <c r="L17" s="8">
        <v>643</v>
      </c>
      <c r="M17" s="10">
        <v>8790</v>
      </c>
      <c r="N17" s="10">
        <f t="shared" si="2"/>
        <v>149660</v>
      </c>
    </row>
    <row r="18" spans="1:14" s="11" customFormat="1" ht="21" customHeight="1" x14ac:dyDescent="0.25">
      <c r="A18" s="10"/>
      <c r="B18" s="10"/>
      <c r="C18" s="6" t="s">
        <v>116</v>
      </c>
      <c r="D18" s="9" t="s">
        <v>1</v>
      </c>
      <c r="E18" s="8"/>
      <c r="F18" s="10">
        <v>8280</v>
      </c>
      <c r="G18" s="10">
        <f t="shared" si="1"/>
        <v>423380</v>
      </c>
      <c r="H18" s="10"/>
      <c r="I18" s="8">
        <v>765</v>
      </c>
      <c r="J18" s="6" t="s">
        <v>86</v>
      </c>
      <c r="K18" s="9" t="s">
        <v>0</v>
      </c>
      <c r="L18" s="8">
        <v>690</v>
      </c>
      <c r="M18" s="10">
        <v>6960</v>
      </c>
      <c r="N18" s="10">
        <f t="shared" si="2"/>
        <v>158450</v>
      </c>
    </row>
    <row r="19" spans="1:14" s="11" customFormat="1" ht="21" customHeight="1" x14ac:dyDescent="0.25">
      <c r="A19" s="10"/>
      <c r="B19" s="10"/>
      <c r="C19" s="6" t="s">
        <v>97</v>
      </c>
      <c r="D19" s="9" t="s">
        <v>1</v>
      </c>
      <c r="E19" s="8"/>
      <c r="F19" s="10">
        <v>2960</v>
      </c>
      <c r="G19" s="10">
        <f t="shared" si="1"/>
        <v>431660</v>
      </c>
      <c r="H19" s="10"/>
      <c r="I19" s="8">
        <v>766</v>
      </c>
      <c r="J19" s="6" t="s">
        <v>110</v>
      </c>
      <c r="K19" s="9" t="s">
        <v>0</v>
      </c>
      <c r="L19" s="8">
        <v>697</v>
      </c>
      <c r="M19" s="10">
        <v>2650</v>
      </c>
      <c r="N19" s="10">
        <f t="shared" si="2"/>
        <v>165410</v>
      </c>
    </row>
    <row r="20" spans="1:14" s="11" customFormat="1" ht="21" customHeight="1" x14ac:dyDescent="0.25">
      <c r="A20" s="10"/>
      <c r="B20" s="10"/>
      <c r="C20" s="6" t="s">
        <v>100</v>
      </c>
      <c r="D20" s="9" t="s">
        <v>1</v>
      </c>
      <c r="E20" s="8"/>
      <c r="F20" s="10">
        <v>3560</v>
      </c>
      <c r="G20" s="10">
        <f t="shared" si="1"/>
        <v>434620</v>
      </c>
      <c r="H20" s="10"/>
      <c r="I20" s="8">
        <v>767</v>
      </c>
      <c r="J20" s="6" t="s">
        <v>48</v>
      </c>
      <c r="K20" s="9" t="s">
        <v>0</v>
      </c>
      <c r="L20" s="8">
        <v>696</v>
      </c>
      <c r="M20" s="10">
        <v>1720</v>
      </c>
      <c r="N20" s="10">
        <f t="shared" si="2"/>
        <v>168060</v>
      </c>
    </row>
    <row r="21" spans="1:14" s="11" customFormat="1" ht="21" customHeight="1" x14ac:dyDescent="0.25">
      <c r="A21" s="10"/>
      <c r="B21" s="10"/>
      <c r="C21" s="6" t="s">
        <v>46</v>
      </c>
      <c r="D21" s="9" t="s">
        <v>1</v>
      </c>
      <c r="E21" s="8"/>
      <c r="F21" s="10">
        <v>8580</v>
      </c>
      <c r="G21" s="10">
        <f t="shared" si="1"/>
        <v>438180</v>
      </c>
      <c r="H21" s="10"/>
      <c r="I21" s="8">
        <v>768</v>
      </c>
      <c r="J21" s="6" t="s">
        <v>44</v>
      </c>
      <c r="K21" s="9" t="s">
        <v>0</v>
      </c>
      <c r="L21" s="8">
        <v>693</v>
      </c>
      <c r="M21" s="10">
        <v>9300</v>
      </c>
      <c r="N21" s="10">
        <f t="shared" si="2"/>
        <v>169780</v>
      </c>
    </row>
    <row r="22" spans="1:14" s="11" customFormat="1" ht="21" customHeight="1" x14ac:dyDescent="0.25">
      <c r="A22" s="10"/>
      <c r="B22" s="10"/>
      <c r="C22" s="6" t="s">
        <v>96</v>
      </c>
      <c r="D22" s="9" t="s">
        <v>1</v>
      </c>
      <c r="E22" s="8"/>
      <c r="F22" s="10">
        <v>12710</v>
      </c>
      <c r="G22" s="10">
        <f t="shared" si="1"/>
        <v>446760</v>
      </c>
      <c r="H22" s="10"/>
      <c r="I22" s="8">
        <v>769</v>
      </c>
      <c r="J22" s="6" t="s">
        <v>51</v>
      </c>
      <c r="K22" s="9" t="s">
        <v>0</v>
      </c>
      <c r="L22" s="8">
        <v>650</v>
      </c>
      <c r="M22" s="10">
        <v>2480</v>
      </c>
      <c r="N22" s="10">
        <f t="shared" si="2"/>
        <v>179080</v>
      </c>
    </row>
    <row r="23" spans="1:14" s="11" customFormat="1" ht="21" customHeight="1" x14ac:dyDescent="0.25">
      <c r="A23" s="10"/>
      <c r="B23" s="10"/>
      <c r="C23" s="6" t="s">
        <v>67</v>
      </c>
      <c r="D23" s="9" t="s">
        <v>1</v>
      </c>
      <c r="E23" s="8"/>
      <c r="F23" s="10">
        <v>5400</v>
      </c>
      <c r="G23" s="10">
        <f t="shared" si="1"/>
        <v>459470</v>
      </c>
      <c r="H23" s="10"/>
      <c r="I23" s="8">
        <v>770</v>
      </c>
      <c r="J23" s="6" t="s">
        <v>71</v>
      </c>
      <c r="K23" s="9" t="s">
        <v>0</v>
      </c>
      <c r="L23" s="8">
        <v>641</v>
      </c>
      <c r="M23" s="10">
        <v>9050</v>
      </c>
      <c r="N23" s="10">
        <f t="shared" si="2"/>
        <v>181560</v>
      </c>
    </row>
    <row r="24" spans="1:14" s="11" customFormat="1" ht="21" customHeight="1" x14ac:dyDescent="0.25">
      <c r="A24" s="10"/>
      <c r="B24" s="10"/>
      <c r="C24" s="6" t="s">
        <v>63</v>
      </c>
      <c r="D24" s="9" t="s">
        <v>1</v>
      </c>
      <c r="E24" s="8"/>
      <c r="F24" s="10">
        <v>5640</v>
      </c>
      <c r="G24" s="10">
        <f t="shared" si="1"/>
        <v>464870</v>
      </c>
      <c r="H24" s="10"/>
      <c r="I24" s="8">
        <v>771</v>
      </c>
      <c r="J24" s="6" t="s">
        <v>45</v>
      </c>
      <c r="K24" s="9" t="s">
        <v>0</v>
      </c>
      <c r="L24" s="8">
        <v>691</v>
      </c>
      <c r="M24" s="10">
        <v>3770</v>
      </c>
      <c r="N24" s="10">
        <f t="shared" si="2"/>
        <v>190610</v>
      </c>
    </row>
    <row r="25" spans="1:14" s="11" customFormat="1" ht="21" customHeight="1" x14ac:dyDescent="0.25">
      <c r="A25" s="10"/>
      <c r="B25" s="10"/>
      <c r="C25" s="6" t="s">
        <v>101</v>
      </c>
      <c r="D25" s="9" t="s">
        <v>1</v>
      </c>
      <c r="E25" s="8"/>
      <c r="F25" s="10">
        <v>5730</v>
      </c>
      <c r="G25" s="10">
        <f t="shared" si="1"/>
        <v>470510</v>
      </c>
      <c r="H25" s="10"/>
      <c r="I25" s="8">
        <v>772</v>
      </c>
      <c r="J25" s="6" t="s">
        <v>49</v>
      </c>
      <c r="K25" s="9" t="s">
        <v>0</v>
      </c>
      <c r="L25" s="8">
        <v>648</v>
      </c>
      <c r="M25" s="10">
        <v>1640</v>
      </c>
      <c r="N25" s="10">
        <f t="shared" si="2"/>
        <v>194380</v>
      </c>
    </row>
    <row r="26" spans="1:14" s="11" customFormat="1" ht="21" customHeight="1" x14ac:dyDescent="0.25">
      <c r="A26" s="10"/>
      <c r="B26" s="10"/>
      <c r="C26" s="6" t="s">
        <v>99</v>
      </c>
      <c r="D26" s="9" t="s">
        <v>1</v>
      </c>
      <c r="E26" s="8"/>
      <c r="F26" s="10">
        <v>3010</v>
      </c>
      <c r="G26" s="10">
        <f t="shared" si="1"/>
        <v>476240</v>
      </c>
      <c r="H26" s="10"/>
      <c r="I26" s="8">
        <v>773</v>
      </c>
      <c r="J26" s="6" t="s">
        <v>111</v>
      </c>
      <c r="K26" s="9" t="s">
        <v>0</v>
      </c>
      <c r="L26" s="8">
        <v>649</v>
      </c>
      <c r="M26" s="10">
        <v>3630</v>
      </c>
      <c r="N26" s="10">
        <f t="shared" si="2"/>
        <v>196020</v>
      </c>
    </row>
    <row r="27" spans="1:14" s="11" customFormat="1" ht="21" customHeight="1" x14ac:dyDescent="0.25">
      <c r="A27" s="10"/>
      <c r="B27" s="10"/>
      <c r="C27" s="6" t="s">
        <v>40</v>
      </c>
      <c r="D27" s="9" t="s">
        <v>1</v>
      </c>
      <c r="E27" s="8"/>
      <c r="F27" s="10">
        <v>2520</v>
      </c>
      <c r="G27" s="10">
        <f t="shared" si="1"/>
        <v>479250</v>
      </c>
      <c r="H27" s="10"/>
      <c r="I27" s="8">
        <v>774</v>
      </c>
      <c r="J27" s="6" t="s">
        <v>112</v>
      </c>
      <c r="K27" s="9" t="s">
        <v>0</v>
      </c>
      <c r="L27" s="8">
        <v>644</v>
      </c>
      <c r="M27" s="10">
        <v>6650</v>
      </c>
      <c r="N27" s="10">
        <f t="shared" si="2"/>
        <v>199650</v>
      </c>
    </row>
    <row r="28" spans="1:14" s="11" customFormat="1" ht="21" customHeight="1" x14ac:dyDescent="0.25">
      <c r="A28" s="10"/>
      <c r="B28" s="10"/>
      <c r="C28" s="6" t="s">
        <v>62</v>
      </c>
      <c r="D28" s="9" t="s">
        <v>1</v>
      </c>
      <c r="E28" s="8"/>
      <c r="F28" s="10">
        <v>1570</v>
      </c>
      <c r="G28" s="10">
        <f t="shared" si="1"/>
        <v>481770</v>
      </c>
      <c r="H28" s="10"/>
      <c r="I28" s="8">
        <v>775</v>
      </c>
      <c r="J28" s="6" t="s">
        <v>113</v>
      </c>
      <c r="K28" s="9" t="s">
        <v>0</v>
      </c>
      <c r="L28" s="8">
        <v>640</v>
      </c>
      <c r="M28" s="10">
        <v>1800</v>
      </c>
      <c r="N28" s="10">
        <f t="shared" si="2"/>
        <v>206300</v>
      </c>
    </row>
    <row r="29" spans="1:14" s="11" customFormat="1" ht="21" customHeight="1" x14ac:dyDescent="0.25">
      <c r="A29" s="10"/>
      <c r="B29" s="10"/>
      <c r="C29" s="6" t="s">
        <v>95</v>
      </c>
      <c r="D29" s="9" t="s">
        <v>1</v>
      </c>
      <c r="E29" s="8"/>
      <c r="F29" s="10">
        <v>560</v>
      </c>
      <c r="G29" s="10">
        <f t="shared" si="1"/>
        <v>483340</v>
      </c>
      <c r="H29" s="10"/>
      <c r="I29" s="8">
        <v>776</v>
      </c>
      <c r="J29" s="6" t="s">
        <v>100</v>
      </c>
      <c r="K29" s="9" t="s">
        <v>0</v>
      </c>
      <c r="L29" s="8">
        <v>694</v>
      </c>
      <c r="M29" s="10">
        <v>10280</v>
      </c>
      <c r="N29" s="10">
        <f t="shared" si="2"/>
        <v>208100</v>
      </c>
    </row>
    <row r="30" spans="1:14" s="11" customFormat="1" ht="21" customHeight="1" x14ac:dyDescent="0.25">
      <c r="A30" s="10"/>
      <c r="B30" s="10"/>
      <c r="C30" s="6" t="s">
        <v>86</v>
      </c>
      <c r="D30" s="9" t="s">
        <v>1</v>
      </c>
      <c r="E30" s="8"/>
      <c r="F30" s="10">
        <v>1310</v>
      </c>
      <c r="G30" s="10">
        <f t="shared" si="1"/>
        <v>483900</v>
      </c>
      <c r="H30" s="10"/>
      <c r="I30" s="8">
        <v>777</v>
      </c>
      <c r="J30" s="6" t="s">
        <v>67</v>
      </c>
      <c r="K30" s="9" t="s">
        <v>0</v>
      </c>
      <c r="L30" s="8">
        <v>692</v>
      </c>
      <c r="M30" s="10">
        <v>1170</v>
      </c>
      <c r="N30" s="10">
        <f t="shared" si="2"/>
        <v>218380</v>
      </c>
    </row>
    <row r="31" spans="1:14" s="11" customFormat="1" ht="21" customHeight="1" x14ac:dyDescent="0.25">
      <c r="A31" s="10"/>
      <c r="B31" s="10"/>
      <c r="C31" s="6" t="s">
        <v>52</v>
      </c>
      <c r="D31" s="9" t="s">
        <v>1</v>
      </c>
      <c r="E31" s="8"/>
      <c r="F31" s="10">
        <v>19060</v>
      </c>
      <c r="G31" s="10">
        <f t="shared" si="1"/>
        <v>485210</v>
      </c>
      <c r="H31" s="10"/>
      <c r="I31" s="8">
        <v>778</v>
      </c>
      <c r="J31" s="6" t="s">
        <v>114</v>
      </c>
      <c r="K31" s="9" t="s">
        <v>0</v>
      </c>
      <c r="L31" s="8">
        <v>639</v>
      </c>
      <c r="M31" s="10">
        <v>8920</v>
      </c>
      <c r="N31" s="10">
        <f t="shared" si="2"/>
        <v>219550</v>
      </c>
    </row>
    <row r="32" spans="1:14" s="11" customFormat="1" ht="21" customHeight="1" x14ac:dyDescent="0.25">
      <c r="A32" s="10"/>
      <c r="B32" s="10"/>
      <c r="C32" s="10"/>
      <c r="D32" s="22" t="s">
        <v>1</v>
      </c>
      <c r="E32" s="8"/>
      <c r="F32" s="10"/>
      <c r="G32" s="10">
        <f t="shared" si="1"/>
        <v>504270</v>
      </c>
      <c r="H32" s="10"/>
      <c r="I32" s="8">
        <v>779</v>
      </c>
      <c r="J32" s="6" t="s">
        <v>115</v>
      </c>
      <c r="K32" s="9" t="s">
        <v>0</v>
      </c>
      <c r="L32" s="8">
        <v>638</v>
      </c>
      <c r="M32" s="10">
        <v>6600</v>
      </c>
      <c r="N32" s="10">
        <f t="shared" si="2"/>
        <v>228470</v>
      </c>
    </row>
    <row r="33" spans="1:14" s="11" customFormat="1" ht="21" customHeight="1" x14ac:dyDescent="0.25">
      <c r="A33" s="10"/>
      <c r="B33" s="10"/>
      <c r="C33" s="8" t="s">
        <v>117</v>
      </c>
      <c r="D33" s="22" t="s">
        <v>1</v>
      </c>
      <c r="E33" s="8"/>
      <c r="F33" s="10"/>
      <c r="G33" s="23">
        <f t="shared" si="1"/>
        <v>504270</v>
      </c>
      <c r="H33" s="10"/>
      <c r="I33" s="8">
        <v>780</v>
      </c>
      <c r="J33" s="6" t="s">
        <v>52</v>
      </c>
      <c r="K33" s="9" t="s">
        <v>0</v>
      </c>
      <c r="L33" s="8">
        <v>632</v>
      </c>
      <c r="M33" s="10">
        <v>19060</v>
      </c>
      <c r="N33" s="10">
        <f t="shared" si="2"/>
        <v>235070</v>
      </c>
    </row>
    <row r="34" spans="1:14" s="11" customFormat="1" ht="21" customHeight="1" x14ac:dyDescent="0.25">
      <c r="A34" s="10"/>
      <c r="B34" s="10"/>
      <c r="C34" s="8" t="s">
        <v>118</v>
      </c>
      <c r="D34" s="22" t="s">
        <v>1</v>
      </c>
      <c r="E34" s="10"/>
      <c r="F34" s="10"/>
      <c r="G34" s="23">
        <f>G33+F33</f>
        <v>504270</v>
      </c>
      <c r="H34" s="10"/>
      <c r="I34" s="10"/>
      <c r="J34" s="29" t="s">
        <v>119</v>
      </c>
      <c r="K34" s="22" t="s">
        <v>0</v>
      </c>
      <c r="L34" s="10"/>
      <c r="M34" s="10"/>
      <c r="N34" s="10">
        <f t="shared" si="2"/>
        <v>254130</v>
      </c>
    </row>
    <row r="35" spans="1:14" s="11" customFormat="1" ht="21" customHeight="1" x14ac:dyDescent="0.25">
      <c r="A35" s="10"/>
      <c r="B35" s="10"/>
      <c r="C35" s="8" t="s">
        <v>154</v>
      </c>
      <c r="D35" s="9"/>
      <c r="E35" s="10"/>
      <c r="F35" s="10"/>
      <c r="G35" s="23">
        <f t="shared" ref="G35:G37" si="3">G34+F34</f>
        <v>504270</v>
      </c>
      <c r="H35" s="10"/>
      <c r="I35" s="10"/>
      <c r="J35" s="30" t="s">
        <v>120</v>
      </c>
      <c r="K35" s="9"/>
      <c r="L35" s="10"/>
      <c r="M35" s="10"/>
      <c r="N35" s="23">
        <f t="shared" si="2"/>
        <v>254130</v>
      </c>
    </row>
    <row r="36" spans="1:14" s="11" customFormat="1" ht="21" customHeight="1" x14ac:dyDescent="0.25">
      <c r="A36" s="10"/>
      <c r="B36" s="10"/>
      <c r="C36" s="21" t="s">
        <v>155</v>
      </c>
      <c r="D36" s="9"/>
      <c r="E36" s="10"/>
      <c r="F36" s="10"/>
      <c r="G36" s="23">
        <f t="shared" si="3"/>
        <v>504270</v>
      </c>
      <c r="H36" s="10"/>
      <c r="I36" s="10"/>
      <c r="J36" s="31" t="s">
        <v>121</v>
      </c>
      <c r="K36" s="9"/>
      <c r="L36" s="10"/>
      <c r="M36" s="10"/>
      <c r="N36" s="23">
        <f t="shared" si="2"/>
        <v>254130</v>
      </c>
    </row>
    <row r="37" spans="1:14" s="11" customFormat="1" ht="21" customHeight="1" x14ac:dyDescent="0.25">
      <c r="A37" s="10"/>
      <c r="B37" s="10"/>
      <c r="C37" s="20"/>
      <c r="D37" s="9"/>
      <c r="E37" s="10"/>
      <c r="F37" s="10"/>
      <c r="G37" s="23">
        <f t="shared" si="3"/>
        <v>504270</v>
      </c>
      <c r="H37" s="10"/>
      <c r="I37" s="10"/>
      <c r="J37" s="20"/>
      <c r="K37" s="9"/>
      <c r="L37" s="10"/>
      <c r="M37" s="10"/>
      <c r="N37" s="23">
        <f t="shared" si="2"/>
        <v>254130</v>
      </c>
    </row>
    <row r="38" spans="1:14" ht="31.5" customHeight="1" x14ac:dyDescent="0.25">
      <c r="A38" s="60" t="s">
        <v>9</v>
      </c>
      <c r="B38" s="60"/>
      <c r="C38" s="61"/>
      <c r="D38" s="66">
        <f>G34+F34</f>
        <v>504270</v>
      </c>
      <c r="E38" s="66"/>
      <c r="F38" s="66"/>
      <c r="G38" s="66"/>
      <c r="H38" s="54" t="s">
        <v>10</v>
      </c>
      <c r="I38" s="54"/>
      <c r="J38" s="55"/>
      <c r="K38" s="66">
        <f>N34+M34</f>
        <v>254130</v>
      </c>
      <c r="L38" s="66"/>
      <c r="M38" s="66"/>
      <c r="N38" s="66"/>
    </row>
    <row r="39" spans="1:14" ht="30.75" customHeight="1" x14ac:dyDescent="0.25">
      <c r="A39" s="54" t="s">
        <v>10</v>
      </c>
      <c r="B39" s="54"/>
      <c r="C39" s="55"/>
      <c r="D39" s="67">
        <f>K38</f>
        <v>254130</v>
      </c>
      <c r="E39" s="67"/>
      <c r="F39" s="67"/>
      <c r="G39" s="67"/>
      <c r="H39" s="52"/>
      <c r="I39" s="52"/>
      <c r="J39" s="13"/>
      <c r="K39" s="53"/>
      <c r="L39" s="53"/>
      <c r="M39" s="53"/>
      <c r="N39" s="14"/>
    </row>
    <row r="40" spans="1:14" ht="36.75" customHeight="1" x14ac:dyDescent="0.25">
      <c r="A40" s="62" t="s">
        <v>11</v>
      </c>
      <c r="B40" s="62"/>
      <c r="C40" s="63"/>
      <c r="D40" s="71">
        <f>D38-D39</f>
        <v>250140</v>
      </c>
      <c r="E40" s="71"/>
      <c r="F40" s="71"/>
      <c r="G40" s="71"/>
      <c r="H40" s="52"/>
      <c r="I40" s="52"/>
      <c r="J40" s="13"/>
      <c r="K40" s="51"/>
      <c r="L40" s="51"/>
      <c r="M40" s="51"/>
      <c r="N40" s="15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40:C40"/>
    <mergeCell ref="D40:G40"/>
    <mergeCell ref="H40:I40"/>
    <mergeCell ref="K40:M40"/>
    <mergeCell ref="A4:E4"/>
    <mergeCell ref="A38:C38"/>
    <mergeCell ref="D38:G38"/>
    <mergeCell ref="H38:J38"/>
    <mergeCell ref="K38:N38"/>
    <mergeCell ref="A39:C39"/>
    <mergeCell ref="D39:G39"/>
    <mergeCell ref="H39:I39"/>
    <mergeCell ref="K39:M39"/>
  </mergeCells>
  <pageMargins left="0.33088235294117646" right="0" top="0.25" bottom="0" header="0.05" footer="0.0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N53"/>
  <sheetViews>
    <sheetView view="pageBreakPreview" topLeftCell="A13" zoomScale="115" zoomScaleNormal="145" zoomScaleSheetLayoutView="115" zoomScalePageLayoutView="85" workbookViewId="0">
      <selection activeCell="F36" sqref="F36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 t="s">
        <v>123</v>
      </c>
      <c r="D3" s="70" t="s">
        <v>4</v>
      </c>
      <c r="E3" s="70"/>
      <c r="F3" s="17" t="s">
        <v>3</v>
      </c>
      <c r="G3" s="3">
        <v>45600</v>
      </c>
      <c r="H3" s="69" t="s">
        <v>8</v>
      </c>
      <c r="I3" s="69"/>
      <c r="J3" s="18" t="s">
        <v>123</v>
      </c>
      <c r="K3" s="56" t="s">
        <v>5</v>
      </c>
      <c r="L3" s="56"/>
      <c r="M3" s="17" t="s">
        <v>3</v>
      </c>
      <c r="N3" s="3">
        <v>45600</v>
      </c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(3)'!D40</f>
        <v>250140</v>
      </c>
      <c r="G4" s="8" t="s">
        <v>2</v>
      </c>
      <c r="H4" s="10"/>
      <c r="I4" s="10"/>
      <c r="J4" s="6" t="s">
        <v>18</v>
      </c>
      <c r="K4" s="9" t="s">
        <v>0</v>
      </c>
      <c r="L4" s="10"/>
      <c r="M4" s="10">
        <v>20660</v>
      </c>
      <c r="N4" s="8" t="s">
        <v>2</v>
      </c>
    </row>
    <row r="5" spans="1:14" s="36" customFormat="1" ht="15" customHeight="1" x14ac:dyDescent="0.25">
      <c r="A5" s="32"/>
      <c r="B5" s="32"/>
      <c r="C5" s="33" t="s">
        <v>14</v>
      </c>
      <c r="D5" s="34" t="s">
        <v>1</v>
      </c>
      <c r="E5" s="32"/>
      <c r="F5" s="35">
        <v>22410</v>
      </c>
      <c r="G5" s="35">
        <f>F4</f>
        <v>250140</v>
      </c>
      <c r="H5" s="32"/>
      <c r="I5" s="35"/>
      <c r="J5" s="33" t="s">
        <v>19</v>
      </c>
      <c r="K5" s="34" t="s">
        <v>0</v>
      </c>
      <c r="L5" s="35"/>
      <c r="M5" s="35">
        <v>690</v>
      </c>
      <c r="N5" s="35">
        <f>M4</f>
        <v>20660</v>
      </c>
    </row>
    <row r="6" spans="1:14" s="36" customFormat="1" ht="15" customHeight="1" x14ac:dyDescent="0.25">
      <c r="A6" s="32"/>
      <c r="B6" s="32"/>
      <c r="C6" s="33" t="s">
        <v>15</v>
      </c>
      <c r="D6" s="34" t="s">
        <v>1</v>
      </c>
      <c r="E6" s="32"/>
      <c r="F6" s="35">
        <v>140</v>
      </c>
      <c r="G6" s="35">
        <f>G5+F5</f>
        <v>272550</v>
      </c>
      <c r="H6" s="32"/>
      <c r="I6" s="35"/>
      <c r="J6" s="33" t="s">
        <v>17</v>
      </c>
      <c r="K6" s="34" t="s">
        <v>0</v>
      </c>
      <c r="L6" s="35"/>
      <c r="M6" s="35">
        <v>1960</v>
      </c>
      <c r="N6" s="35">
        <f t="shared" ref="N6" si="0">N5+M5</f>
        <v>21350</v>
      </c>
    </row>
    <row r="7" spans="1:14" s="36" customFormat="1" ht="15" customHeight="1" x14ac:dyDescent="0.25">
      <c r="A7" s="32"/>
      <c r="B7" s="32"/>
      <c r="C7" s="33" t="s">
        <v>16</v>
      </c>
      <c r="D7" s="34" t="s">
        <v>1</v>
      </c>
      <c r="E7" s="32"/>
      <c r="F7" s="35">
        <v>130</v>
      </c>
      <c r="G7" s="35">
        <f t="shared" ref="G7:G41" si="1">G6+F6</f>
        <v>272690</v>
      </c>
      <c r="H7" s="32"/>
      <c r="I7" s="35"/>
      <c r="J7" s="33" t="s">
        <v>122</v>
      </c>
      <c r="K7" s="34" t="s">
        <v>0</v>
      </c>
      <c r="L7" s="35"/>
      <c r="M7" s="35">
        <v>4500</v>
      </c>
      <c r="N7" s="35">
        <f>N6+M6</f>
        <v>23310</v>
      </c>
    </row>
    <row r="8" spans="1:14" s="36" customFormat="1" ht="15" customHeight="1" x14ac:dyDescent="0.25">
      <c r="A8" s="37"/>
      <c r="B8" s="32"/>
      <c r="C8" s="33" t="s">
        <v>29</v>
      </c>
      <c r="D8" s="34" t="s">
        <v>1</v>
      </c>
      <c r="E8" s="32"/>
      <c r="F8" s="35">
        <v>30000</v>
      </c>
      <c r="G8" s="35">
        <f t="shared" si="1"/>
        <v>272820</v>
      </c>
      <c r="H8" s="32"/>
      <c r="I8" s="32">
        <v>781</v>
      </c>
      <c r="J8" s="33" t="s">
        <v>125</v>
      </c>
      <c r="K8" s="34" t="s">
        <v>0</v>
      </c>
      <c r="L8" s="35">
        <v>1110</v>
      </c>
      <c r="M8" s="35">
        <v>6460</v>
      </c>
      <c r="N8" s="35">
        <f t="shared" ref="N8:N41" si="2">N7+M7</f>
        <v>27810</v>
      </c>
    </row>
    <row r="9" spans="1:14" s="36" customFormat="1" ht="15" customHeight="1" x14ac:dyDescent="0.25">
      <c r="A9" s="37"/>
      <c r="B9" s="32"/>
      <c r="C9" s="33" t="s">
        <v>30</v>
      </c>
      <c r="D9" s="34" t="s">
        <v>1</v>
      </c>
      <c r="E9" s="32"/>
      <c r="F9" s="35">
        <v>40000</v>
      </c>
      <c r="G9" s="35">
        <f t="shared" si="1"/>
        <v>302820</v>
      </c>
      <c r="H9" s="32"/>
      <c r="I9" s="32">
        <v>782</v>
      </c>
      <c r="J9" s="33" t="s">
        <v>30</v>
      </c>
      <c r="K9" s="34" t="s">
        <v>0</v>
      </c>
      <c r="L9" s="35">
        <v>1111</v>
      </c>
      <c r="M9" s="35">
        <v>17900</v>
      </c>
      <c r="N9" s="35">
        <f t="shared" si="2"/>
        <v>34270</v>
      </c>
    </row>
    <row r="10" spans="1:14" s="36" customFormat="1" ht="15" customHeight="1" x14ac:dyDescent="0.25">
      <c r="A10" s="37"/>
      <c r="B10" s="32"/>
      <c r="C10" s="33" t="s">
        <v>94</v>
      </c>
      <c r="D10" s="34" t="s">
        <v>1</v>
      </c>
      <c r="E10" s="32"/>
      <c r="F10" s="35">
        <v>4890</v>
      </c>
      <c r="G10" s="35">
        <f t="shared" si="1"/>
        <v>342820</v>
      </c>
      <c r="H10" s="32"/>
      <c r="I10" s="32">
        <v>783</v>
      </c>
      <c r="J10" s="33" t="s">
        <v>31</v>
      </c>
      <c r="K10" s="34" t="s">
        <v>0</v>
      </c>
      <c r="L10" s="35">
        <v>1103</v>
      </c>
      <c r="M10" s="35">
        <v>141860</v>
      </c>
      <c r="N10" s="35">
        <f t="shared" si="2"/>
        <v>52170</v>
      </c>
    </row>
    <row r="11" spans="1:14" s="36" customFormat="1" ht="15" customHeight="1" x14ac:dyDescent="0.25">
      <c r="A11" s="32"/>
      <c r="B11" s="32"/>
      <c r="C11" s="33" t="s">
        <v>58</v>
      </c>
      <c r="D11" s="34" t="s">
        <v>1</v>
      </c>
      <c r="E11" s="32"/>
      <c r="F11" s="35">
        <v>30000</v>
      </c>
      <c r="G11" s="35">
        <f t="shared" si="1"/>
        <v>347710</v>
      </c>
      <c r="H11" s="32"/>
      <c r="I11" s="32">
        <v>784</v>
      </c>
      <c r="J11" s="33" t="s">
        <v>35</v>
      </c>
      <c r="K11" s="34" t="s">
        <v>0</v>
      </c>
      <c r="L11" s="35">
        <v>1109</v>
      </c>
      <c r="M11" s="35">
        <v>1220</v>
      </c>
      <c r="N11" s="35">
        <f t="shared" si="2"/>
        <v>194030</v>
      </c>
    </row>
    <row r="12" spans="1:14" s="36" customFormat="1" ht="15" customHeight="1" x14ac:dyDescent="0.25">
      <c r="A12" s="32"/>
      <c r="B12" s="32"/>
      <c r="C12" s="33" t="s">
        <v>59</v>
      </c>
      <c r="D12" s="34" t="s">
        <v>1</v>
      </c>
      <c r="E12" s="32"/>
      <c r="F12" s="35">
        <v>30000</v>
      </c>
      <c r="G12" s="35">
        <f t="shared" si="1"/>
        <v>377710</v>
      </c>
      <c r="H12" s="32"/>
      <c r="I12" s="32">
        <v>785</v>
      </c>
      <c r="J12" s="33" t="s">
        <v>46</v>
      </c>
      <c r="K12" s="34" t="s">
        <v>0</v>
      </c>
      <c r="L12" s="35">
        <v>1125</v>
      </c>
      <c r="M12" s="35">
        <v>3500</v>
      </c>
      <c r="N12" s="35">
        <f t="shared" si="2"/>
        <v>195250</v>
      </c>
    </row>
    <row r="13" spans="1:14" s="36" customFormat="1" ht="15" customHeight="1" x14ac:dyDescent="0.25">
      <c r="A13" s="32"/>
      <c r="B13" s="32"/>
      <c r="C13" s="33" t="s">
        <v>34</v>
      </c>
      <c r="D13" s="34" t="s">
        <v>1</v>
      </c>
      <c r="E13" s="32"/>
      <c r="F13" s="35">
        <v>40000</v>
      </c>
      <c r="G13" s="35">
        <f t="shared" si="1"/>
        <v>407710</v>
      </c>
      <c r="H13" s="32"/>
      <c r="I13" s="32">
        <v>786</v>
      </c>
      <c r="J13" s="33" t="s">
        <v>36</v>
      </c>
      <c r="K13" s="34" t="s">
        <v>0</v>
      </c>
      <c r="L13" s="35">
        <v>1107</v>
      </c>
      <c r="M13" s="35">
        <v>32630</v>
      </c>
      <c r="N13" s="35">
        <f t="shared" si="2"/>
        <v>198750</v>
      </c>
    </row>
    <row r="14" spans="1:14" s="36" customFormat="1" ht="15" customHeight="1" x14ac:dyDescent="0.25">
      <c r="A14" s="32"/>
      <c r="B14" s="32"/>
      <c r="C14" s="33" t="s">
        <v>60</v>
      </c>
      <c r="D14" s="34" t="s">
        <v>1</v>
      </c>
      <c r="E14" s="32"/>
      <c r="F14" s="35">
        <v>50000</v>
      </c>
      <c r="G14" s="35">
        <f t="shared" si="1"/>
        <v>447710</v>
      </c>
      <c r="H14" s="32"/>
      <c r="I14" s="32">
        <v>787</v>
      </c>
      <c r="J14" s="33" t="s">
        <v>59</v>
      </c>
      <c r="K14" s="34" t="s">
        <v>0</v>
      </c>
      <c r="L14" s="35">
        <v>1112</v>
      </c>
      <c r="M14" s="35">
        <v>37540</v>
      </c>
      <c r="N14" s="35">
        <f t="shared" si="2"/>
        <v>231380</v>
      </c>
    </row>
    <row r="15" spans="1:14" s="36" customFormat="1" ht="15" customHeight="1" x14ac:dyDescent="0.25">
      <c r="A15" s="35"/>
      <c r="B15" s="35"/>
      <c r="C15" s="33" t="s">
        <v>124</v>
      </c>
      <c r="D15" s="34" t="s">
        <v>1</v>
      </c>
      <c r="E15" s="32"/>
      <c r="F15" s="35">
        <v>7830</v>
      </c>
      <c r="G15" s="35">
        <f t="shared" si="1"/>
        <v>497710</v>
      </c>
      <c r="H15" s="35"/>
      <c r="I15" s="32">
        <v>788</v>
      </c>
      <c r="J15" s="33" t="s">
        <v>33</v>
      </c>
      <c r="K15" s="34" t="s">
        <v>0</v>
      </c>
      <c r="L15" s="35">
        <v>1105</v>
      </c>
      <c r="M15" s="35">
        <v>27740</v>
      </c>
      <c r="N15" s="35">
        <f t="shared" si="2"/>
        <v>268920</v>
      </c>
    </row>
    <row r="16" spans="1:14" s="36" customFormat="1" ht="15" customHeight="1" x14ac:dyDescent="0.25">
      <c r="A16" s="35"/>
      <c r="B16" s="35"/>
      <c r="C16" s="33" t="s">
        <v>36</v>
      </c>
      <c r="D16" s="34" t="s">
        <v>1</v>
      </c>
      <c r="E16" s="32"/>
      <c r="F16" s="35">
        <v>5000</v>
      </c>
      <c r="G16" s="35">
        <f t="shared" si="1"/>
        <v>505540</v>
      </c>
      <c r="H16" s="35"/>
      <c r="I16" s="32">
        <v>789</v>
      </c>
      <c r="J16" s="33" t="s">
        <v>34</v>
      </c>
      <c r="K16" s="34" t="s">
        <v>0</v>
      </c>
      <c r="L16" s="35">
        <v>1102</v>
      </c>
      <c r="M16" s="35">
        <v>134430</v>
      </c>
      <c r="N16" s="35">
        <f t="shared" si="2"/>
        <v>296660</v>
      </c>
    </row>
    <row r="17" spans="1:14" s="36" customFormat="1" ht="15" customHeight="1" x14ac:dyDescent="0.25">
      <c r="A17" s="35"/>
      <c r="B17" s="35"/>
      <c r="C17" s="33" t="s">
        <v>77</v>
      </c>
      <c r="D17" s="34" t="s">
        <v>1</v>
      </c>
      <c r="E17" s="32"/>
      <c r="F17" s="35">
        <v>1400</v>
      </c>
      <c r="G17" s="35">
        <f t="shared" si="1"/>
        <v>510540</v>
      </c>
      <c r="H17" s="35"/>
      <c r="I17" s="32">
        <v>790</v>
      </c>
      <c r="J17" s="33" t="s">
        <v>60</v>
      </c>
      <c r="K17" s="34" t="s">
        <v>0</v>
      </c>
      <c r="L17" s="35">
        <v>1104</v>
      </c>
      <c r="M17" s="35">
        <v>49790</v>
      </c>
      <c r="N17" s="35">
        <f t="shared" si="2"/>
        <v>431090</v>
      </c>
    </row>
    <row r="18" spans="1:14" s="36" customFormat="1" ht="15" customHeight="1" x14ac:dyDescent="0.25">
      <c r="A18" s="35"/>
      <c r="B18" s="35"/>
      <c r="C18" s="33" t="s">
        <v>91</v>
      </c>
      <c r="D18" s="34" t="s">
        <v>1</v>
      </c>
      <c r="E18" s="32"/>
      <c r="F18" s="35">
        <v>7630</v>
      </c>
      <c r="G18" s="35">
        <f t="shared" si="1"/>
        <v>511940</v>
      </c>
      <c r="H18" s="35"/>
      <c r="I18" s="32">
        <v>791</v>
      </c>
      <c r="J18" s="33" t="s">
        <v>62</v>
      </c>
      <c r="K18" s="34" t="s">
        <v>0</v>
      </c>
      <c r="L18" s="35">
        <v>1124</v>
      </c>
      <c r="M18" s="35">
        <v>8760</v>
      </c>
      <c r="N18" s="35">
        <f t="shared" si="2"/>
        <v>480880</v>
      </c>
    </row>
    <row r="19" spans="1:14" s="36" customFormat="1" ht="15" customHeight="1" x14ac:dyDescent="0.25">
      <c r="A19" s="35"/>
      <c r="B19" s="35"/>
      <c r="C19" s="33" t="s">
        <v>113</v>
      </c>
      <c r="D19" s="34" t="s">
        <v>1</v>
      </c>
      <c r="E19" s="32"/>
      <c r="F19" s="35">
        <v>1800</v>
      </c>
      <c r="G19" s="35">
        <f t="shared" si="1"/>
        <v>519570</v>
      </c>
      <c r="H19" s="35"/>
      <c r="I19" s="32">
        <v>792</v>
      </c>
      <c r="J19" s="33" t="s">
        <v>86</v>
      </c>
      <c r="K19" s="34" t="s">
        <v>0</v>
      </c>
      <c r="L19" s="35">
        <v>1126</v>
      </c>
      <c r="M19" s="35">
        <v>3780</v>
      </c>
      <c r="N19" s="35">
        <f t="shared" si="2"/>
        <v>489640</v>
      </c>
    </row>
    <row r="20" spans="1:14" s="36" customFormat="1" ht="15" customHeight="1" x14ac:dyDescent="0.25">
      <c r="A20" s="35"/>
      <c r="B20" s="35"/>
      <c r="C20" s="33" t="s">
        <v>71</v>
      </c>
      <c r="D20" s="34" t="s">
        <v>1</v>
      </c>
      <c r="E20" s="32"/>
      <c r="F20" s="35">
        <v>9050</v>
      </c>
      <c r="G20" s="35">
        <f t="shared" si="1"/>
        <v>521370</v>
      </c>
      <c r="H20" s="35"/>
      <c r="I20" s="32">
        <v>793</v>
      </c>
      <c r="J20" s="33" t="s">
        <v>64</v>
      </c>
      <c r="K20" s="34" t="s">
        <v>0</v>
      </c>
      <c r="L20" s="32">
        <v>1119</v>
      </c>
      <c r="M20" s="35">
        <v>7570</v>
      </c>
      <c r="N20" s="35">
        <f t="shared" si="2"/>
        <v>493420</v>
      </c>
    </row>
    <row r="21" spans="1:14" s="36" customFormat="1" ht="15" customHeight="1" x14ac:dyDescent="0.25">
      <c r="A21" s="35"/>
      <c r="B21" s="35"/>
      <c r="C21" s="33" t="s">
        <v>46</v>
      </c>
      <c r="D21" s="34" t="s">
        <v>1</v>
      </c>
      <c r="E21" s="32"/>
      <c r="F21" s="35">
        <v>8550</v>
      </c>
      <c r="G21" s="35">
        <f t="shared" si="1"/>
        <v>530420</v>
      </c>
      <c r="H21" s="35"/>
      <c r="I21" s="32">
        <v>794</v>
      </c>
      <c r="J21" s="33" t="s">
        <v>126</v>
      </c>
      <c r="K21" s="34" t="s">
        <v>0</v>
      </c>
      <c r="L21" s="32">
        <v>1129</v>
      </c>
      <c r="M21" s="35">
        <v>1920</v>
      </c>
      <c r="N21" s="35">
        <f t="shared" si="2"/>
        <v>500990</v>
      </c>
    </row>
    <row r="22" spans="1:14" s="36" customFormat="1" ht="15" customHeight="1" x14ac:dyDescent="0.25">
      <c r="A22" s="35"/>
      <c r="B22" s="35"/>
      <c r="C22" s="33" t="s">
        <v>62</v>
      </c>
      <c r="D22" s="34" t="s">
        <v>1</v>
      </c>
      <c r="E22" s="32"/>
      <c r="F22" s="35">
        <v>8790</v>
      </c>
      <c r="G22" s="35">
        <f t="shared" si="1"/>
        <v>538970</v>
      </c>
      <c r="H22" s="35"/>
      <c r="I22" s="32">
        <v>795</v>
      </c>
      <c r="J22" s="33" t="s">
        <v>127</v>
      </c>
      <c r="K22" s="34" t="s">
        <v>0</v>
      </c>
      <c r="L22" s="32">
        <v>1127</v>
      </c>
      <c r="M22" s="35">
        <v>4120</v>
      </c>
      <c r="N22" s="35">
        <f t="shared" si="2"/>
        <v>502910</v>
      </c>
    </row>
    <row r="23" spans="1:14" s="36" customFormat="1" ht="15" customHeight="1" x14ac:dyDescent="0.25">
      <c r="A23" s="35"/>
      <c r="B23" s="35"/>
      <c r="C23" s="33" t="s">
        <v>49</v>
      </c>
      <c r="D23" s="34" t="s">
        <v>1</v>
      </c>
      <c r="E23" s="32"/>
      <c r="F23" s="35">
        <v>1640</v>
      </c>
      <c r="G23" s="35">
        <f t="shared" si="1"/>
        <v>547760</v>
      </c>
      <c r="H23" s="35"/>
      <c r="I23" s="32">
        <v>796</v>
      </c>
      <c r="J23" s="33" t="s">
        <v>51</v>
      </c>
      <c r="K23" s="34" t="s">
        <v>0</v>
      </c>
      <c r="L23" s="32">
        <v>1106</v>
      </c>
      <c r="M23" s="35">
        <v>3080</v>
      </c>
      <c r="N23" s="35">
        <f t="shared" si="2"/>
        <v>507030</v>
      </c>
    </row>
    <row r="24" spans="1:14" s="36" customFormat="1" ht="15" customHeight="1" x14ac:dyDescent="0.25">
      <c r="A24" s="35"/>
      <c r="B24" s="35"/>
      <c r="C24" s="33" t="s">
        <v>111</v>
      </c>
      <c r="D24" s="34" t="s">
        <v>1</v>
      </c>
      <c r="E24" s="32"/>
      <c r="F24" s="35">
        <v>3630</v>
      </c>
      <c r="G24" s="35">
        <f t="shared" si="1"/>
        <v>549400</v>
      </c>
      <c r="H24" s="35"/>
      <c r="I24" s="32">
        <v>797</v>
      </c>
      <c r="J24" s="33" t="s">
        <v>71</v>
      </c>
      <c r="K24" s="34" t="s">
        <v>0</v>
      </c>
      <c r="L24" s="32">
        <v>1117</v>
      </c>
      <c r="M24" s="35">
        <v>2020</v>
      </c>
      <c r="N24" s="35">
        <f t="shared" si="2"/>
        <v>510110</v>
      </c>
    </row>
    <row r="25" spans="1:14" s="36" customFormat="1" ht="15" customHeight="1" x14ac:dyDescent="0.25">
      <c r="A25" s="35"/>
      <c r="B25" s="35"/>
      <c r="C25" s="33" t="s">
        <v>51</v>
      </c>
      <c r="D25" s="34" t="s">
        <v>1</v>
      </c>
      <c r="E25" s="32"/>
      <c r="F25" s="35">
        <v>2480</v>
      </c>
      <c r="G25" s="35">
        <f t="shared" si="1"/>
        <v>553030</v>
      </c>
      <c r="H25" s="35"/>
      <c r="I25" s="32">
        <v>798</v>
      </c>
      <c r="J25" s="33" t="s">
        <v>45</v>
      </c>
      <c r="K25" s="34" t="s">
        <v>0</v>
      </c>
      <c r="L25" s="32">
        <v>1115</v>
      </c>
      <c r="M25" s="35">
        <v>3230</v>
      </c>
      <c r="N25" s="35">
        <f t="shared" si="2"/>
        <v>512130</v>
      </c>
    </row>
    <row r="26" spans="1:14" s="36" customFormat="1" ht="15" customHeight="1" x14ac:dyDescent="0.25">
      <c r="A26" s="35"/>
      <c r="B26" s="35"/>
      <c r="C26" s="33" t="s">
        <v>86</v>
      </c>
      <c r="D26" s="34" t="s">
        <v>1</v>
      </c>
      <c r="E26" s="32"/>
      <c r="F26" s="35">
        <v>6960</v>
      </c>
      <c r="G26" s="35">
        <f t="shared" si="1"/>
        <v>555510</v>
      </c>
      <c r="H26" s="35"/>
      <c r="I26" s="32">
        <v>799</v>
      </c>
      <c r="J26" s="33" t="s">
        <v>39</v>
      </c>
      <c r="K26" s="34" t="s">
        <v>0</v>
      </c>
      <c r="L26" s="32">
        <v>1123</v>
      </c>
      <c r="M26" s="35">
        <v>10030</v>
      </c>
      <c r="N26" s="35">
        <f t="shared" si="2"/>
        <v>515360</v>
      </c>
    </row>
    <row r="27" spans="1:14" s="36" customFormat="1" ht="15" customHeight="1" x14ac:dyDescent="0.25">
      <c r="A27" s="35"/>
      <c r="B27" s="35"/>
      <c r="C27" s="33" t="s">
        <v>45</v>
      </c>
      <c r="D27" s="34" t="s">
        <v>1</v>
      </c>
      <c r="E27" s="32"/>
      <c r="F27" s="35">
        <v>3770</v>
      </c>
      <c r="G27" s="35">
        <f t="shared" si="1"/>
        <v>562470</v>
      </c>
      <c r="H27" s="35"/>
      <c r="I27" s="32">
        <v>800</v>
      </c>
      <c r="J27" s="33" t="s">
        <v>128</v>
      </c>
      <c r="K27" s="34" t="s">
        <v>0</v>
      </c>
      <c r="L27" s="32">
        <v>1121</v>
      </c>
      <c r="M27" s="35">
        <v>3430</v>
      </c>
      <c r="N27" s="35">
        <f t="shared" si="2"/>
        <v>525390</v>
      </c>
    </row>
    <row r="28" spans="1:14" s="36" customFormat="1" ht="15" customHeight="1" x14ac:dyDescent="0.25">
      <c r="A28" s="35"/>
      <c r="B28" s="35"/>
      <c r="C28" s="33" t="s">
        <v>67</v>
      </c>
      <c r="D28" s="34" t="s">
        <v>1</v>
      </c>
      <c r="E28" s="32"/>
      <c r="F28" s="35">
        <v>1170</v>
      </c>
      <c r="G28" s="35">
        <f t="shared" si="1"/>
        <v>566240</v>
      </c>
      <c r="H28" s="35"/>
      <c r="I28" s="32">
        <v>801</v>
      </c>
      <c r="J28" s="33" t="s">
        <v>113</v>
      </c>
      <c r="K28" s="34" t="s">
        <v>0</v>
      </c>
      <c r="L28" s="32">
        <v>1122</v>
      </c>
      <c r="M28" s="35">
        <v>1840</v>
      </c>
      <c r="N28" s="35">
        <f t="shared" si="2"/>
        <v>528820</v>
      </c>
    </row>
    <row r="29" spans="1:14" s="36" customFormat="1" ht="15" customHeight="1" x14ac:dyDescent="0.25">
      <c r="A29" s="35"/>
      <c r="B29" s="35"/>
      <c r="C29" s="33" t="s">
        <v>44</v>
      </c>
      <c r="D29" s="34" t="s">
        <v>1</v>
      </c>
      <c r="E29" s="32"/>
      <c r="F29" s="35">
        <v>9300</v>
      </c>
      <c r="G29" s="35">
        <f t="shared" si="1"/>
        <v>567410</v>
      </c>
      <c r="H29" s="35"/>
      <c r="I29" s="32">
        <v>802</v>
      </c>
      <c r="J29" s="33" t="s">
        <v>129</v>
      </c>
      <c r="K29" s="34" t="s">
        <v>0</v>
      </c>
      <c r="L29" s="32">
        <v>1120</v>
      </c>
      <c r="M29" s="35">
        <v>10550</v>
      </c>
      <c r="N29" s="35">
        <f t="shared" si="2"/>
        <v>530660</v>
      </c>
    </row>
    <row r="30" spans="1:14" s="36" customFormat="1" ht="15" customHeight="1" x14ac:dyDescent="0.25">
      <c r="A30" s="35"/>
      <c r="B30" s="35"/>
      <c r="C30" s="33" t="s">
        <v>100</v>
      </c>
      <c r="D30" s="34" t="s">
        <v>1</v>
      </c>
      <c r="E30" s="32"/>
      <c r="F30" s="35">
        <v>10280</v>
      </c>
      <c r="G30" s="35">
        <f t="shared" si="1"/>
        <v>576710</v>
      </c>
      <c r="H30" s="35"/>
      <c r="I30" s="32">
        <v>803</v>
      </c>
      <c r="J30" s="33" t="s">
        <v>67</v>
      </c>
      <c r="K30" s="34" t="s">
        <v>0</v>
      </c>
      <c r="L30" s="32">
        <v>1114</v>
      </c>
      <c r="M30" s="35">
        <v>1510</v>
      </c>
      <c r="N30" s="35">
        <f t="shared" si="2"/>
        <v>541210</v>
      </c>
    </row>
    <row r="31" spans="1:14" s="36" customFormat="1" ht="15" customHeight="1" x14ac:dyDescent="0.25">
      <c r="A31" s="35"/>
      <c r="B31" s="35"/>
      <c r="C31" s="33" t="s">
        <v>48</v>
      </c>
      <c r="D31" s="34" t="s">
        <v>1</v>
      </c>
      <c r="E31" s="32"/>
      <c r="F31" s="35">
        <v>1720</v>
      </c>
      <c r="G31" s="35">
        <f t="shared" si="1"/>
        <v>586990</v>
      </c>
      <c r="H31" s="35"/>
      <c r="I31" s="32">
        <v>804</v>
      </c>
      <c r="J31" s="33" t="s">
        <v>76</v>
      </c>
      <c r="K31" s="34" t="s">
        <v>0</v>
      </c>
      <c r="L31" s="32">
        <v>1118</v>
      </c>
      <c r="M31" s="35">
        <v>5100</v>
      </c>
      <c r="N31" s="35">
        <f t="shared" si="2"/>
        <v>542720</v>
      </c>
    </row>
    <row r="32" spans="1:14" s="36" customFormat="1" ht="15" customHeight="1" x14ac:dyDescent="0.25">
      <c r="A32" s="35"/>
      <c r="B32" s="35"/>
      <c r="C32" s="33" t="s">
        <v>47</v>
      </c>
      <c r="D32" s="34" t="s">
        <v>1</v>
      </c>
      <c r="E32" s="32"/>
      <c r="F32" s="35">
        <v>2650</v>
      </c>
      <c r="G32" s="35">
        <f t="shared" si="1"/>
        <v>588710</v>
      </c>
      <c r="H32" s="35"/>
      <c r="I32" s="32">
        <v>805</v>
      </c>
      <c r="J32" s="33" t="s">
        <v>130</v>
      </c>
      <c r="K32" s="34" t="s">
        <v>0</v>
      </c>
      <c r="L32" s="32">
        <v>1108</v>
      </c>
      <c r="M32" s="35">
        <v>8070</v>
      </c>
      <c r="N32" s="35">
        <f t="shared" si="2"/>
        <v>547820</v>
      </c>
    </row>
    <row r="33" spans="1:14" s="36" customFormat="1" ht="15" customHeight="1" x14ac:dyDescent="0.25">
      <c r="A33" s="35"/>
      <c r="B33" s="35"/>
      <c r="C33" s="33" t="s">
        <v>52</v>
      </c>
      <c r="D33" s="34" t="s">
        <v>1</v>
      </c>
      <c r="E33" s="32"/>
      <c r="F33" s="35">
        <v>23350</v>
      </c>
      <c r="G33" s="35">
        <f t="shared" si="1"/>
        <v>591360</v>
      </c>
      <c r="H33" s="35"/>
      <c r="I33" s="32">
        <v>806</v>
      </c>
      <c r="J33" s="33" t="s">
        <v>68</v>
      </c>
      <c r="K33" s="34" t="s">
        <v>0</v>
      </c>
      <c r="L33" s="32">
        <v>1128</v>
      </c>
      <c r="M33" s="35">
        <v>4620</v>
      </c>
      <c r="N33" s="35">
        <f t="shared" si="2"/>
        <v>555890</v>
      </c>
    </row>
    <row r="34" spans="1:14" s="36" customFormat="1" ht="15" customHeight="1" x14ac:dyDescent="0.25">
      <c r="A34" s="35"/>
      <c r="B34" s="35"/>
      <c r="C34" s="35"/>
      <c r="D34" s="38" t="s">
        <v>1</v>
      </c>
      <c r="E34" s="32"/>
      <c r="F34" s="35"/>
      <c r="G34" s="35">
        <f t="shared" si="1"/>
        <v>614710</v>
      </c>
      <c r="H34" s="35"/>
      <c r="I34" s="32">
        <v>807</v>
      </c>
      <c r="J34" s="33" t="s">
        <v>131</v>
      </c>
      <c r="K34" s="34" t="s">
        <v>0</v>
      </c>
      <c r="L34" s="32">
        <v>1113</v>
      </c>
      <c r="M34" s="35">
        <v>3070</v>
      </c>
      <c r="N34" s="35">
        <f t="shared" si="2"/>
        <v>560510</v>
      </c>
    </row>
    <row r="35" spans="1:14" s="36" customFormat="1" ht="15" customHeight="1" x14ac:dyDescent="0.25">
      <c r="A35" s="35"/>
      <c r="B35" s="35"/>
      <c r="C35" s="32" t="s">
        <v>156</v>
      </c>
      <c r="D35" s="38" t="s">
        <v>1</v>
      </c>
      <c r="E35" s="32"/>
      <c r="F35" s="35"/>
      <c r="G35" s="39">
        <f t="shared" si="1"/>
        <v>614710</v>
      </c>
      <c r="H35" s="35"/>
      <c r="I35" s="32">
        <v>808</v>
      </c>
      <c r="J35" s="33" t="s">
        <v>69</v>
      </c>
      <c r="K35" s="34" t="s">
        <v>0</v>
      </c>
      <c r="L35" s="32">
        <v>1116</v>
      </c>
      <c r="M35" s="35">
        <v>2430</v>
      </c>
      <c r="N35" s="35">
        <f t="shared" si="2"/>
        <v>563580</v>
      </c>
    </row>
    <row r="36" spans="1:14" s="36" customFormat="1" ht="15" customHeight="1" x14ac:dyDescent="0.25">
      <c r="A36" s="35"/>
      <c r="B36" s="35"/>
      <c r="C36" s="32" t="s">
        <v>135</v>
      </c>
      <c r="D36" s="38" t="s">
        <v>1</v>
      </c>
      <c r="E36" s="32"/>
      <c r="F36" s="35"/>
      <c r="G36" s="39">
        <f t="shared" si="1"/>
        <v>614710</v>
      </c>
      <c r="H36" s="35"/>
      <c r="I36" s="32">
        <v>809</v>
      </c>
      <c r="J36" s="33" t="s">
        <v>52</v>
      </c>
      <c r="K36" s="34" t="s">
        <v>0</v>
      </c>
      <c r="L36" s="32">
        <v>1101</v>
      </c>
      <c r="M36" s="35">
        <v>23350</v>
      </c>
      <c r="N36" s="35">
        <f t="shared" si="2"/>
        <v>566010</v>
      </c>
    </row>
    <row r="37" spans="1:14" s="36" customFormat="1" ht="15" customHeight="1" x14ac:dyDescent="0.25">
      <c r="A37" s="35"/>
      <c r="B37" s="35"/>
      <c r="C37" s="32" t="s">
        <v>136</v>
      </c>
      <c r="D37" s="38" t="s">
        <v>1</v>
      </c>
      <c r="E37" s="32"/>
      <c r="F37" s="35"/>
      <c r="G37" s="39">
        <f t="shared" si="1"/>
        <v>614710</v>
      </c>
      <c r="H37" s="35"/>
      <c r="I37" s="35"/>
      <c r="J37" s="33"/>
      <c r="K37" s="38" t="s">
        <v>0</v>
      </c>
      <c r="L37" s="32"/>
      <c r="M37" s="35"/>
      <c r="N37" s="35">
        <f t="shared" si="2"/>
        <v>589360</v>
      </c>
    </row>
    <row r="38" spans="1:14" s="36" customFormat="1" ht="15" customHeight="1" x14ac:dyDescent="0.25">
      <c r="A38" s="35"/>
      <c r="B38" s="35"/>
      <c r="C38" s="40" t="s">
        <v>157</v>
      </c>
      <c r="D38" s="38" t="s">
        <v>1</v>
      </c>
      <c r="E38" s="32"/>
      <c r="F38" s="35"/>
      <c r="G38" s="39">
        <f t="shared" si="1"/>
        <v>614710</v>
      </c>
      <c r="H38" s="35"/>
      <c r="I38" s="35"/>
      <c r="J38" s="41" t="s">
        <v>133</v>
      </c>
      <c r="K38" s="38" t="s">
        <v>0</v>
      </c>
      <c r="L38" s="32"/>
      <c r="M38" s="35"/>
      <c r="N38" s="39">
        <f t="shared" si="2"/>
        <v>589360</v>
      </c>
    </row>
    <row r="39" spans="1:14" s="36" customFormat="1" ht="15" customHeight="1" x14ac:dyDescent="0.25">
      <c r="A39" s="35"/>
      <c r="B39" s="35"/>
      <c r="C39" s="35"/>
      <c r="D39" s="38" t="s">
        <v>1</v>
      </c>
      <c r="E39" s="32"/>
      <c r="F39" s="35"/>
      <c r="G39" s="39">
        <f t="shared" si="1"/>
        <v>614710</v>
      </c>
      <c r="H39" s="35"/>
      <c r="I39" s="35"/>
      <c r="J39" s="42" t="s">
        <v>132</v>
      </c>
      <c r="K39" s="38" t="s">
        <v>0</v>
      </c>
      <c r="L39" s="32"/>
      <c r="M39" s="35"/>
      <c r="N39" s="39">
        <f t="shared" si="2"/>
        <v>589360</v>
      </c>
    </row>
    <row r="40" spans="1:14" s="36" customFormat="1" ht="15" customHeight="1" x14ac:dyDescent="0.25">
      <c r="A40" s="35"/>
      <c r="B40" s="35"/>
      <c r="C40" s="35"/>
      <c r="D40" s="38" t="s">
        <v>1</v>
      </c>
      <c r="E40" s="35"/>
      <c r="F40" s="35"/>
      <c r="G40" s="39">
        <f t="shared" si="1"/>
        <v>614710</v>
      </c>
      <c r="H40" s="35"/>
      <c r="I40" s="35"/>
      <c r="J40" s="43" t="s">
        <v>134</v>
      </c>
      <c r="K40" s="38" t="s">
        <v>0</v>
      </c>
      <c r="L40" s="35"/>
      <c r="M40" s="35"/>
      <c r="N40" s="39">
        <f t="shared" si="2"/>
        <v>589360</v>
      </c>
    </row>
    <row r="41" spans="1:14" s="36" customFormat="1" ht="15" customHeight="1" x14ac:dyDescent="0.25">
      <c r="A41" s="44"/>
      <c r="B41" s="44"/>
      <c r="C41" s="45"/>
      <c r="D41" s="38" t="s">
        <v>1</v>
      </c>
      <c r="E41" s="35"/>
      <c r="F41" s="35"/>
      <c r="G41" s="39">
        <f t="shared" si="1"/>
        <v>614710</v>
      </c>
      <c r="H41" s="44"/>
      <c r="I41" s="44"/>
      <c r="J41" s="45"/>
      <c r="K41" s="38" t="s">
        <v>0</v>
      </c>
      <c r="L41" s="35"/>
      <c r="M41" s="35"/>
      <c r="N41" s="39">
        <f t="shared" si="2"/>
        <v>589360</v>
      </c>
    </row>
    <row r="42" spans="1:14" ht="31.5" customHeight="1" x14ac:dyDescent="0.25">
      <c r="A42" s="60" t="s">
        <v>9</v>
      </c>
      <c r="B42" s="60"/>
      <c r="C42" s="61"/>
      <c r="D42" s="66">
        <f>G40+F40</f>
        <v>614710</v>
      </c>
      <c r="E42" s="66"/>
      <c r="F42" s="66"/>
      <c r="G42" s="66"/>
      <c r="H42" s="54" t="s">
        <v>10</v>
      </c>
      <c r="I42" s="54"/>
      <c r="J42" s="55"/>
      <c r="K42" s="66">
        <f>N40+M40</f>
        <v>589360</v>
      </c>
      <c r="L42" s="66"/>
      <c r="M42" s="66"/>
      <c r="N42" s="66"/>
    </row>
    <row r="43" spans="1:14" ht="30.75" customHeight="1" x14ac:dyDescent="0.25">
      <c r="A43" s="54" t="s">
        <v>10</v>
      </c>
      <c r="B43" s="54"/>
      <c r="C43" s="55"/>
      <c r="D43" s="67">
        <f>K42</f>
        <v>589360</v>
      </c>
      <c r="E43" s="67"/>
      <c r="F43" s="67"/>
      <c r="G43" s="67"/>
      <c r="H43" s="52"/>
      <c r="I43" s="52"/>
      <c r="J43" s="13"/>
      <c r="K43" s="53"/>
      <c r="L43" s="53"/>
      <c r="M43" s="53"/>
      <c r="N43" s="14"/>
    </row>
    <row r="44" spans="1:14" ht="36.75" customHeight="1" x14ac:dyDescent="0.25">
      <c r="A44" s="62" t="s">
        <v>11</v>
      </c>
      <c r="B44" s="62"/>
      <c r="C44" s="63"/>
      <c r="D44" s="71">
        <f>D42-D43</f>
        <v>25350</v>
      </c>
      <c r="E44" s="71"/>
      <c r="F44" s="71"/>
      <c r="G44" s="71"/>
      <c r="H44" s="52"/>
      <c r="I44" s="52"/>
      <c r="J44" s="13"/>
      <c r="K44" s="51"/>
      <c r="L44" s="51"/>
      <c r="M44" s="51"/>
      <c r="N44" s="15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3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3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  <row r="53" spans="3:14" ht="21" customHeight="1" x14ac:dyDescent="0.25">
      <c r="C53" s="7"/>
      <c r="D53" s="4"/>
      <c r="E53" s="4"/>
      <c r="F53" s="4"/>
      <c r="G53" s="4"/>
      <c r="J53" s="7"/>
      <c r="K53" s="4"/>
      <c r="L53" s="4"/>
      <c r="M53" s="4"/>
      <c r="N53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44:C44"/>
    <mergeCell ref="D44:G44"/>
    <mergeCell ref="H44:I44"/>
    <mergeCell ref="K44:M44"/>
    <mergeCell ref="A4:E4"/>
    <mergeCell ref="A42:C42"/>
    <mergeCell ref="D42:G42"/>
    <mergeCell ref="H42:J42"/>
    <mergeCell ref="K42:N42"/>
    <mergeCell ref="A43:C43"/>
    <mergeCell ref="D43:G43"/>
    <mergeCell ref="H43:I43"/>
    <mergeCell ref="K43:M43"/>
  </mergeCells>
  <phoneticPr fontId="21" type="noConversion"/>
  <pageMargins left="0.33088235294117646" right="0" top="0.25" bottom="0" header="0.05" footer="0.05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N50"/>
  <sheetViews>
    <sheetView view="pageBreakPreview" topLeftCell="A16" zoomScale="115" zoomScaleNormal="145" zoomScaleSheetLayoutView="115" zoomScalePageLayoutView="85" workbookViewId="0">
      <selection activeCell="C35" sqref="C35:C38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 t="s">
        <v>137</v>
      </c>
      <c r="D3" s="70" t="s">
        <v>4</v>
      </c>
      <c r="E3" s="70"/>
      <c r="F3" s="17" t="s">
        <v>3</v>
      </c>
      <c r="G3" s="3">
        <v>45601</v>
      </c>
      <c r="H3" s="69" t="s">
        <v>8</v>
      </c>
      <c r="I3" s="69"/>
      <c r="J3" s="18" t="s">
        <v>137</v>
      </c>
      <c r="K3" s="56" t="s">
        <v>5</v>
      </c>
      <c r="L3" s="56"/>
      <c r="M3" s="17" t="s">
        <v>3</v>
      </c>
      <c r="N3" s="3">
        <v>45601</v>
      </c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(4)'!D44</f>
        <v>25350</v>
      </c>
      <c r="G4" s="8" t="s">
        <v>2</v>
      </c>
      <c r="H4" s="10"/>
      <c r="I4" s="10"/>
      <c r="J4" s="6" t="s">
        <v>18</v>
      </c>
      <c r="K4" s="9" t="s">
        <v>0</v>
      </c>
      <c r="L4" s="10"/>
      <c r="M4" s="10">
        <v>1600</v>
      </c>
      <c r="N4" s="8" t="s">
        <v>2</v>
      </c>
    </row>
    <row r="5" spans="1:14" s="36" customFormat="1" ht="15.75" customHeight="1" x14ac:dyDescent="0.25">
      <c r="A5" s="32"/>
      <c r="B5" s="32"/>
      <c r="C5" s="33" t="s">
        <v>14</v>
      </c>
      <c r="D5" s="34" t="s">
        <v>1</v>
      </c>
      <c r="E5" s="32"/>
      <c r="F5" s="35">
        <v>3440</v>
      </c>
      <c r="G5" s="35">
        <f>F4</f>
        <v>25350</v>
      </c>
      <c r="H5" s="32"/>
      <c r="I5" s="32"/>
      <c r="J5" s="33" t="s">
        <v>19</v>
      </c>
      <c r="K5" s="34" t="s">
        <v>0</v>
      </c>
      <c r="L5" s="32"/>
      <c r="M5" s="35">
        <v>690</v>
      </c>
      <c r="N5" s="35">
        <f>M4</f>
        <v>1600</v>
      </c>
    </row>
    <row r="6" spans="1:14" s="36" customFormat="1" ht="15.75" customHeight="1" x14ac:dyDescent="0.25">
      <c r="A6" s="32"/>
      <c r="B6" s="32"/>
      <c r="C6" s="33" t="s">
        <v>15</v>
      </c>
      <c r="D6" s="34" t="s">
        <v>1</v>
      </c>
      <c r="E6" s="32"/>
      <c r="F6" s="35">
        <v>60</v>
      </c>
      <c r="G6" s="35">
        <f>G5+F5</f>
        <v>28790</v>
      </c>
      <c r="H6" s="32"/>
      <c r="I6" s="32"/>
      <c r="J6" s="33" t="s">
        <v>17</v>
      </c>
      <c r="K6" s="34" t="s">
        <v>0</v>
      </c>
      <c r="L6" s="32"/>
      <c r="M6" s="35">
        <v>390</v>
      </c>
      <c r="N6" s="35">
        <f t="shared" ref="N6" si="0">N5+M5</f>
        <v>2290</v>
      </c>
    </row>
    <row r="7" spans="1:14" s="36" customFormat="1" ht="15.75" customHeight="1" x14ac:dyDescent="0.25">
      <c r="A7" s="32"/>
      <c r="B7" s="32"/>
      <c r="C7" s="33" t="s">
        <v>16</v>
      </c>
      <c r="D7" s="34" t="s">
        <v>1</v>
      </c>
      <c r="E7" s="32"/>
      <c r="F7" s="35">
        <v>60</v>
      </c>
      <c r="G7" s="35">
        <f t="shared" ref="G7:G33" si="1">G6+F6</f>
        <v>28850</v>
      </c>
      <c r="H7" s="32"/>
      <c r="I7" s="32"/>
      <c r="J7" s="33" t="s">
        <v>138</v>
      </c>
      <c r="K7" s="34" t="s">
        <v>0</v>
      </c>
      <c r="L7" s="32"/>
      <c r="M7" s="35">
        <v>10000</v>
      </c>
      <c r="N7" s="35">
        <f>N6+M6</f>
        <v>2680</v>
      </c>
    </row>
    <row r="8" spans="1:14" s="36" customFormat="1" ht="15.75" customHeight="1" x14ac:dyDescent="0.25">
      <c r="A8" s="32"/>
      <c r="B8" s="32"/>
      <c r="C8" s="33" t="s">
        <v>29</v>
      </c>
      <c r="D8" s="34" t="s">
        <v>1</v>
      </c>
      <c r="E8" s="33"/>
      <c r="F8" s="35">
        <v>20540</v>
      </c>
      <c r="G8" s="35">
        <f t="shared" si="1"/>
        <v>28910</v>
      </c>
      <c r="H8" s="32"/>
      <c r="I8" s="32"/>
      <c r="J8" s="33" t="s">
        <v>139</v>
      </c>
      <c r="K8" s="34" t="s">
        <v>0</v>
      </c>
      <c r="L8" s="32"/>
      <c r="M8" s="35">
        <v>40000</v>
      </c>
      <c r="N8" s="35">
        <f t="shared" ref="N8:N38" si="2">N7+M7</f>
        <v>12680</v>
      </c>
    </row>
    <row r="9" spans="1:14" s="36" customFormat="1" ht="15.75" customHeight="1" x14ac:dyDescent="0.25">
      <c r="A9" s="32"/>
      <c r="B9" s="32"/>
      <c r="C9" s="33" t="s">
        <v>30</v>
      </c>
      <c r="D9" s="34" t="s">
        <v>1</v>
      </c>
      <c r="F9" s="35">
        <v>70000</v>
      </c>
      <c r="G9" s="35">
        <f t="shared" si="1"/>
        <v>49450</v>
      </c>
      <c r="H9" s="32"/>
      <c r="I9" s="32"/>
      <c r="J9" s="33" t="s">
        <v>140</v>
      </c>
      <c r="K9" s="34" t="s">
        <v>0</v>
      </c>
      <c r="L9" s="32"/>
      <c r="M9" s="35">
        <v>20000</v>
      </c>
      <c r="N9" s="35">
        <f t="shared" si="2"/>
        <v>52680</v>
      </c>
    </row>
    <row r="10" spans="1:14" s="36" customFormat="1" ht="15.75" customHeight="1" x14ac:dyDescent="0.25">
      <c r="A10" s="32"/>
      <c r="B10" s="32"/>
      <c r="C10" s="33" t="s">
        <v>31</v>
      </c>
      <c r="D10" s="34" t="s">
        <v>1</v>
      </c>
      <c r="F10" s="35">
        <v>42000</v>
      </c>
      <c r="G10" s="35">
        <f t="shared" si="1"/>
        <v>119450</v>
      </c>
      <c r="H10" s="32"/>
      <c r="I10" s="32"/>
      <c r="J10" s="33" t="s">
        <v>141</v>
      </c>
      <c r="K10" s="34" t="s">
        <v>0</v>
      </c>
      <c r="L10" s="32"/>
      <c r="M10" s="35">
        <v>2000</v>
      </c>
      <c r="N10" s="35">
        <f t="shared" si="2"/>
        <v>72680</v>
      </c>
    </row>
    <row r="11" spans="1:14" s="36" customFormat="1" ht="15.75" customHeight="1" x14ac:dyDescent="0.25">
      <c r="A11" s="32"/>
      <c r="B11" s="32"/>
      <c r="C11" s="33" t="s">
        <v>35</v>
      </c>
      <c r="D11" s="34" t="s">
        <v>1</v>
      </c>
      <c r="F11" s="35">
        <v>15000</v>
      </c>
      <c r="G11" s="35">
        <f t="shared" si="1"/>
        <v>161450</v>
      </c>
      <c r="H11" s="32"/>
      <c r="I11" s="32">
        <v>810</v>
      </c>
      <c r="J11" s="33" t="s">
        <v>57</v>
      </c>
      <c r="K11" s="34" t="s">
        <v>0</v>
      </c>
      <c r="L11" s="32">
        <v>1138</v>
      </c>
      <c r="M11" s="35">
        <v>1900</v>
      </c>
      <c r="N11" s="35">
        <f t="shared" si="2"/>
        <v>74680</v>
      </c>
    </row>
    <row r="12" spans="1:14" s="36" customFormat="1" ht="15.75" customHeight="1" x14ac:dyDescent="0.25">
      <c r="A12" s="32"/>
      <c r="B12" s="32"/>
      <c r="C12" s="33" t="s">
        <v>59</v>
      </c>
      <c r="D12" s="34" t="s">
        <v>1</v>
      </c>
      <c r="E12" s="33"/>
      <c r="F12" s="35">
        <v>25000</v>
      </c>
      <c r="G12" s="35">
        <f t="shared" si="1"/>
        <v>176450</v>
      </c>
      <c r="H12" s="32"/>
      <c r="I12" s="32">
        <v>811</v>
      </c>
      <c r="J12" s="33" t="s">
        <v>94</v>
      </c>
      <c r="K12" s="34" t="s">
        <v>0</v>
      </c>
      <c r="L12" s="32">
        <v>1139</v>
      </c>
      <c r="M12" s="35">
        <v>10050</v>
      </c>
      <c r="N12" s="35">
        <f t="shared" si="2"/>
        <v>76580</v>
      </c>
    </row>
    <row r="13" spans="1:14" s="36" customFormat="1" ht="15.75" customHeight="1" x14ac:dyDescent="0.25">
      <c r="A13" s="32"/>
      <c r="B13" s="32"/>
      <c r="C13" s="33" t="s">
        <v>33</v>
      </c>
      <c r="D13" s="34" t="s">
        <v>1</v>
      </c>
      <c r="F13" s="35">
        <v>50000</v>
      </c>
      <c r="G13" s="35">
        <f t="shared" si="1"/>
        <v>201450</v>
      </c>
      <c r="H13" s="32"/>
      <c r="I13" s="32">
        <v>812</v>
      </c>
      <c r="J13" s="33" t="s">
        <v>31</v>
      </c>
      <c r="K13" s="34" t="s">
        <v>0</v>
      </c>
      <c r="L13" s="32">
        <v>1132</v>
      </c>
      <c r="M13" s="35">
        <v>2380</v>
      </c>
      <c r="N13" s="35">
        <f t="shared" si="2"/>
        <v>86630</v>
      </c>
    </row>
    <row r="14" spans="1:14" s="36" customFormat="1" ht="15.75" customHeight="1" x14ac:dyDescent="0.25">
      <c r="A14" s="32"/>
      <c r="B14" s="32"/>
      <c r="C14" s="33" t="s">
        <v>36</v>
      </c>
      <c r="D14" s="34" t="s">
        <v>1</v>
      </c>
      <c r="F14" s="35">
        <v>35000</v>
      </c>
      <c r="G14" s="35">
        <f t="shared" si="1"/>
        <v>251450</v>
      </c>
      <c r="H14" s="32"/>
      <c r="I14" s="32">
        <v>813</v>
      </c>
      <c r="J14" s="33" t="s">
        <v>35</v>
      </c>
      <c r="K14" s="34" t="s">
        <v>0</v>
      </c>
      <c r="L14" s="32">
        <v>1134</v>
      </c>
      <c r="M14" s="35">
        <v>1100</v>
      </c>
      <c r="N14" s="35">
        <f t="shared" si="2"/>
        <v>89010</v>
      </c>
    </row>
    <row r="15" spans="1:14" s="36" customFormat="1" ht="15.75" customHeight="1" x14ac:dyDescent="0.25">
      <c r="A15" s="35"/>
      <c r="B15" s="35"/>
      <c r="C15" s="33" t="s">
        <v>145</v>
      </c>
      <c r="D15" s="34" t="s">
        <v>1</v>
      </c>
      <c r="F15" s="35">
        <v>5000</v>
      </c>
      <c r="G15" s="35">
        <f t="shared" si="1"/>
        <v>286450</v>
      </c>
      <c r="H15" s="35"/>
      <c r="I15" s="32">
        <v>814</v>
      </c>
      <c r="J15" s="33" t="s">
        <v>46</v>
      </c>
      <c r="K15" s="34" t="s">
        <v>0</v>
      </c>
      <c r="L15" s="32">
        <v>1145</v>
      </c>
      <c r="M15" s="35">
        <v>2730</v>
      </c>
      <c r="N15" s="35">
        <f t="shared" si="2"/>
        <v>90110</v>
      </c>
    </row>
    <row r="16" spans="1:14" s="36" customFormat="1" ht="15.75" customHeight="1" x14ac:dyDescent="0.25">
      <c r="A16" s="35"/>
      <c r="B16" s="35"/>
      <c r="C16" s="33" t="s">
        <v>130</v>
      </c>
      <c r="D16" s="34" t="s">
        <v>1</v>
      </c>
      <c r="E16" s="33"/>
      <c r="F16" s="35">
        <v>8500</v>
      </c>
      <c r="G16" s="35">
        <f t="shared" si="1"/>
        <v>291450</v>
      </c>
      <c r="H16" s="35"/>
      <c r="I16" s="32">
        <v>815</v>
      </c>
      <c r="J16" s="33" t="s">
        <v>33</v>
      </c>
      <c r="K16" s="34" t="s">
        <v>0</v>
      </c>
      <c r="L16" s="32">
        <v>1133</v>
      </c>
      <c r="M16" s="35">
        <v>9600</v>
      </c>
      <c r="N16" s="35">
        <f t="shared" si="2"/>
        <v>92840</v>
      </c>
    </row>
    <row r="17" spans="1:14" s="36" customFormat="1" ht="15.75" customHeight="1" x14ac:dyDescent="0.25">
      <c r="A17" s="35"/>
      <c r="B17" s="35"/>
      <c r="C17" s="33" t="s">
        <v>151</v>
      </c>
      <c r="D17" s="34" t="s">
        <v>1</v>
      </c>
      <c r="E17" s="33"/>
      <c r="F17" s="35">
        <v>12000</v>
      </c>
      <c r="G17" s="35">
        <f t="shared" si="1"/>
        <v>299950</v>
      </c>
      <c r="H17" s="35"/>
      <c r="I17" s="32">
        <v>816</v>
      </c>
      <c r="J17" s="33" t="s">
        <v>34</v>
      </c>
      <c r="K17" s="34" t="s">
        <v>0</v>
      </c>
      <c r="L17" s="32">
        <v>1140</v>
      </c>
      <c r="M17" s="35">
        <v>4210</v>
      </c>
      <c r="N17" s="35">
        <f t="shared" si="2"/>
        <v>102440</v>
      </c>
    </row>
    <row r="18" spans="1:14" s="36" customFormat="1" ht="15.75" customHeight="1" x14ac:dyDescent="0.25">
      <c r="A18" s="35"/>
      <c r="B18" s="35"/>
      <c r="C18" s="33" t="s">
        <v>68</v>
      </c>
      <c r="D18" s="34" t="s">
        <v>1</v>
      </c>
      <c r="E18" s="33"/>
      <c r="F18" s="35">
        <v>5120</v>
      </c>
      <c r="G18" s="35">
        <f t="shared" si="1"/>
        <v>311950</v>
      </c>
      <c r="H18" s="35"/>
      <c r="I18" s="32">
        <v>817</v>
      </c>
      <c r="J18" s="33" t="s">
        <v>91</v>
      </c>
      <c r="K18" s="34" t="s">
        <v>0</v>
      </c>
      <c r="L18" s="32">
        <v>1135</v>
      </c>
      <c r="M18" s="35">
        <v>4410</v>
      </c>
      <c r="N18" s="35">
        <f t="shared" si="2"/>
        <v>106650</v>
      </c>
    </row>
    <row r="19" spans="1:14" s="36" customFormat="1" ht="15.75" customHeight="1" x14ac:dyDescent="0.25">
      <c r="A19" s="35"/>
      <c r="B19" s="35"/>
      <c r="C19" s="33" t="s">
        <v>146</v>
      </c>
      <c r="D19" s="34" t="s">
        <v>1</v>
      </c>
      <c r="F19" s="35">
        <v>2270</v>
      </c>
      <c r="G19" s="35">
        <f t="shared" si="1"/>
        <v>317070</v>
      </c>
      <c r="H19" s="35"/>
      <c r="I19" s="32">
        <v>818</v>
      </c>
      <c r="J19" s="33" t="s">
        <v>86</v>
      </c>
      <c r="K19" s="34" t="s">
        <v>0</v>
      </c>
      <c r="L19" s="32">
        <v>1142</v>
      </c>
      <c r="M19" s="35">
        <v>7140</v>
      </c>
      <c r="N19" s="35">
        <f t="shared" si="2"/>
        <v>111060</v>
      </c>
    </row>
    <row r="20" spans="1:14" s="36" customFormat="1" ht="15.75" customHeight="1" x14ac:dyDescent="0.25">
      <c r="A20" s="35"/>
      <c r="B20" s="35"/>
      <c r="C20" s="33" t="s">
        <v>83</v>
      </c>
      <c r="D20" s="34" t="s">
        <v>1</v>
      </c>
      <c r="F20" s="35">
        <v>3650</v>
      </c>
      <c r="G20" s="35">
        <f t="shared" si="1"/>
        <v>319340</v>
      </c>
      <c r="H20" s="35"/>
      <c r="I20" s="32">
        <v>819</v>
      </c>
      <c r="J20" s="33" t="s">
        <v>142</v>
      </c>
      <c r="K20" s="34" t="s">
        <v>0</v>
      </c>
      <c r="L20" s="32">
        <v>1149</v>
      </c>
      <c r="M20" s="35">
        <v>1890</v>
      </c>
      <c r="N20" s="35">
        <f t="shared" si="2"/>
        <v>118200</v>
      </c>
    </row>
    <row r="21" spans="1:14" s="36" customFormat="1" ht="15.75" customHeight="1" x14ac:dyDescent="0.25">
      <c r="A21" s="35"/>
      <c r="B21" s="35"/>
      <c r="C21" s="33" t="s">
        <v>89</v>
      </c>
      <c r="D21" s="34" t="s">
        <v>1</v>
      </c>
      <c r="E21" s="33"/>
      <c r="F21" s="35">
        <v>6480</v>
      </c>
      <c r="G21" s="35">
        <f t="shared" si="1"/>
        <v>322990</v>
      </c>
      <c r="H21" s="35"/>
      <c r="I21" s="32">
        <v>820</v>
      </c>
      <c r="J21" s="33" t="s">
        <v>43</v>
      </c>
      <c r="K21" s="34" t="s">
        <v>0</v>
      </c>
      <c r="L21" s="32">
        <v>1148</v>
      </c>
      <c r="M21" s="35">
        <v>4660</v>
      </c>
      <c r="N21" s="35">
        <f t="shared" si="2"/>
        <v>120090</v>
      </c>
    </row>
    <row r="22" spans="1:14" s="36" customFormat="1" ht="15.75" customHeight="1" x14ac:dyDescent="0.25">
      <c r="A22" s="35"/>
      <c r="B22" s="35"/>
      <c r="C22" s="33" t="s">
        <v>147</v>
      </c>
      <c r="D22" s="34" t="s">
        <v>1</v>
      </c>
      <c r="F22" s="35">
        <v>6650</v>
      </c>
      <c r="G22" s="35">
        <f t="shared" si="1"/>
        <v>329470</v>
      </c>
      <c r="H22" s="35"/>
      <c r="I22" s="32">
        <v>821</v>
      </c>
      <c r="J22" s="33" t="s">
        <v>76</v>
      </c>
      <c r="K22" s="34" t="s">
        <v>0</v>
      </c>
      <c r="L22" s="32">
        <v>1147</v>
      </c>
      <c r="M22" s="35">
        <v>3930</v>
      </c>
      <c r="N22" s="35">
        <f t="shared" si="2"/>
        <v>124750</v>
      </c>
    </row>
    <row r="23" spans="1:14" s="36" customFormat="1" ht="15.75" customHeight="1" x14ac:dyDescent="0.25">
      <c r="A23" s="35"/>
      <c r="B23" s="35"/>
      <c r="C23" s="33" t="s">
        <v>51</v>
      </c>
      <c r="D23" s="34" t="s">
        <v>1</v>
      </c>
      <c r="F23" s="35">
        <v>3080</v>
      </c>
      <c r="G23" s="35">
        <f t="shared" si="1"/>
        <v>336120</v>
      </c>
      <c r="H23" s="35"/>
      <c r="I23" s="32">
        <v>822</v>
      </c>
      <c r="J23" s="33" t="s">
        <v>88</v>
      </c>
      <c r="K23" s="34" t="s">
        <v>0</v>
      </c>
      <c r="L23" s="32">
        <v>1146</v>
      </c>
      <c r="M23" s="35">
        <v>2980</v>
      </c>
      <c r="N23" s="35">
        <f t="shared" si="2"/>
        <v>128680</v>
      </c>
    </row>
    <row r="24" spans="1:14" s="36" customFormat="1" ht="15.75" customHeight="1" x14ac:dyDescent="0.25">
      <c r="A24" s="35"/>
      <c r="B24" s="35"/>
      <c r="C24" s="33" t="s">
        <v>131</v>
      </c>
      <c r="D24" s="34" t="s">
        <v>1</v>
      </c>
      <c r="E24" s="33"/>
      <c r="F24" s="35">
        <v>3060</v>
      </c>
      <c r="G24" s="35">
        <f t="shared" si="1"/>
        <v>339200</v>
      </c>
      <c r="H24" s="35"/>
      <c r="I24" s="32">
        <v>823</v>
      </c>
      <c r="J24" s="33" t="s">
        <v>99</v>
      </c>
      <c r="K24" s="34" t="s">
        <v>0</v>
      </c>
      <c r="L24" s="32">
        <v>1144</v>
      </c>
      <c r="M24" s="35">
        <v>5810</v>
      </c>
      <c r="N24" s="35">
        <f t="shared" si="2"/>
        <v>131660</v>
      </c>
    </row>
    <row r="25" spans="1:14" s="36" customFormat="1" ht="15.75" customHeight="1" x14ac:dyDescent="0.25">
      <c r="A25" s="35"/>
      <c r="B25" s="35"/>
      <c r="C25" s="33" t="s">
        <v>67</v>
      </c>
      <c r="D25" s="34" t="s">
        <v>1</v>
      </c>
      <c r="F25" s="35">
        <v>1510</v>
      </c>
      <c r="G25" s="35">
        <f t="shared" si="1"/>
        <v>342260</v>
      </c>
      <c r="H25" s="35"/>
      <c r="I25" s="32">
        <v>824</v>
      </c>
      <c r="J25" s="33" t="s">
        <v>50</v>
      </c>
      <c r="K25" s="34" t="s">
        <v>0</v>
      </c>
      <c r="L25" s="32">
        <v>1143</v>
      </c>
      <c r="M25" s="35">
        <v>5390</v>
      </c>
      <c r="N25" s="35">
        <f t="shared" si="2"/>
        <v>137470</v>
      </c>
    </row>
    <row r="26" spans="1:14" s="36" customFormat="1" ht="15.75" customHeight="1" x14ac:dyDescent="0.25">
      <c r="A26" s="35"/>
      <c r="B26" s="35"/>
      <c r="C26" s="33" t="s">
        <v>45</v>
      </c>
      <c r="D26" s="34" t="s">
        <v>1</v>
      </c>
      <c r="F26" s="35">
        <v>3230</v>
      </c>
      <c r="G26" s="35">
        <f t="shared" si="1"/>
        <v>343770</v>
      </c>
      <c r="H26" s="35"/>
      <c r="I26" s="32">
        <v>825</v>
      </c>
      <c r="J26" s="33" t="s">
        <v>70</v>
      </c>
      <c r="K26" s="34" t="s">
        <v>0</v>
      </c>
      <c r="L26" s="32">
        <v>1136</v>
      </c>
      <c r="M26" s="35">
        <v>2110</v>
      </c>
      <c r="N26" s="35">
        <f t="shared" si="2"/>
        <v>142860</v>
      </c>
    </row>
    <row r="27" spans="1:14" s="36" customFormat="1" ht="15.75" customHeight="1" x14ac:dyDescent="0.25">
      <c r="A27" s="35"/>
      <c r="B27" s="35"/>
      <c r="C27" s="33" t="s">
        <v>69</v>
      </c>
      <c r="D27" s="34" t="s">
        <v>1</v>
      </c>
      <c r="E27" s="33"/>
      <c r="F27" s="35">
        <v>2430</v>
      </c>
      <c r="G27" s="35">
        <f t="shared" si="1"/>
        <v>347000</v>
      </c>
      <c r="H27" s="35"/>
      <c r="I27" s="32">
        <v>826</v>
      </c>
      <c r="J27" s="33" t="s">
        <v>143</v>
      </c>
      <c r="K27" s="34" t="s">
        <v>0</v>
      </c>
      <c r="L27" s="32">
        <v>1141</v>
      </c>
      <c r="M27" s="35">
        <v>4220</v>
      </c>
      <c r="N27" s="35">
        <f t="shared" si="2"/>
        <v>144970</v>
      </c>
    </row>
    <row r="28" spans="1:14" s="36" customFormat="1" ht="15.75" customHeight="1" x14ac:dyDescent="0.25">
      <c r="A28" s="35"/>
      <c r="B28" s="35"/>
      <c r="C28" s="33" t="s">
        <v>64</v>
      </c>
      <c r="D28" s="34" t="s">
        <v>1</v>
      </c>
      <c r="F28" s="35">
        <v>7570</v>
      </c>
      <c r="G28" s="35">
        <f t="shared" si="1"/>
        <v>349430</v>
      </c>
      <c r="H28" s="35"/>
      <c r="I28" s="32">
        <v>827</v>
      </c>
      <c r="J28" s="33" t="s">
        <v>144</v>
      </c>
      <c r="K28" s="34" t="s">
        <v>0</v>
      </c>
      <c r="L28" s="32">
        <v>1137</v>
      </c>
      <c r="M28" s="35">
        <v>1240</v>
      </c>
      <c r="N28" s="35">
        <f t="shared" si="2"/>
        <v>149190</v>
      </c>
    </row>
    <row r="29" spans="1:14" s="36" customFormat="1" ht="15.75" customHeight="1" x14ac:dyDescent="0.25">
      <c r="A29" s="35"/>
      <c r="B29" s="35"/>
      <c r="C29" s="33" t="s">
        <v>113</v>
      </c>
      <c r="D29" s="34" t="s">
        <v>1</v>
      </c>
      <c r="E29" s="33"/>
      <c r="F29" s="35">
        <v>1840</v>
      </c>
      <c r="G29" s="35">
        <f t="shared" si="1"/>
        <v>357000</v>
      </c>
      <c r="H29" s="35"/>
      <c r="I29" s="32">
        <v>828</v>
      </c>
      <c r="J29" s="33" t="s">
        <v>52</v>
      </c>
      <c r="K29" s="34" t="s">
        <v>0</v>
      </c>
      <c r="L29" s="32">
        <v>1130</v>
      </c>
      <c r="M29" s="35">
        <v>10620</v>
      </c>
      <c r="N29" s="35">
        <f t="shared" si="2"/>
        <v>150430</v>
      </c>
    </row>
    <row r="30" spans="1:14" s="36" customFormat="1" ht="15.75" customHeight="1" x14ac:dyDescent="0.25">
      <c r="A30" s="35"/>
      <c r="B30" s="35"/>
      <c r="C30" s="33" t="s">
        <v>39</v>
      </c>
      <c r="D30" s="34" t="s">
        <v>1</v>
      </c>
      <c r="F30" s="35">
        <v>4530</v>
      </c>
      <c r="G30" s="35">
        <f t="shared" si="1"/>
        <v>358840</v>
      </c>
      <c r="H30" s="35"/>
      <c r="I30" s="48">
        <v>830</v>
      </c>
      <c r="J30" s="35"/>
      <c r="K30" s="38" t="s">
        <v>0</v>
      </c>
      <c r="L30" s="32"/>
      <c r="M30" s="35"/>
      <c r="N30" s="49">
        <f t="shared" si="2"/>
        <v>161050</v>
      </c>
    </row>
    <row r="31" spans="1:14" s="36" customFormat="1" ht="15.75" customHeight="1" x14ac:dyDescent="0.25">
      <c r="A31" s="35"/>
      <c r="B31" s="35"/>
      <c r="C31" s="33" t="s">
        <v>46</v>
      </c>
      <c r="D31" s="34" t="s">
        <v>1</v>
      </c>
      <c r="E31" s="33"/>
      <c r="F31" s="35">
        <v>3500</v>
      </c>
      <c r="G31" s="35">
        <f t="shared" si="1"/>
        <v>363370</v>
      </c>
      <c r="H31" s="35"/>
      <c r="I31" s="48">
        <v>831</v>
      </c>
      <c r="J31" s="35"/>
      <c r="K31" s="38" t="s">
        <v>0</v>
      </c>
      <c r="L31" s="32"/>
      <c r="M31" s="35"/>
      <c r="N31" s="39">
        <f t="shared" si="2"/>
        <v>161050</v>
      </c>
    </row>
    <row r="32" spans="1:14" s="36" customFormat="1" ht="15.75" customHeight="1" x14ac:dyDescent="0.25">
      <c r="A32" s="35"/>
      <c r="B32" s="35"/>
      <c r="C32" s="33" t="s">
        <v>86</v>
      </c>
      <c r="D32" s="34" t="s">
        <v>1</v>
      </c>
      <c r="F32" s="35">
        <v>3780</v>
      </c>
      <c r="G32" s="35">
        <f t="shared" si="1"/>
        <v>366870</v>
      </c>
      <c r="H32" s="35"/>
      <c r="I32" s="48">
        <v>832</v>
      </c>
      <c r="J32" s="35"/>
      <c r="K32" s="38" t="s">
        <v>0</v>
      </c>
      <c r="L32" s="32"/>
      <c r="M32" s="35"/>
      <c r="N32" s="39">
        <f t="shared" si="2"/>
        <v>161050</v>
      </c>
    </row>
    <row r="33" spans="1:14" s="36" customFormat="1" ht="15.75" customHeight="1" x14ac:dyDescent="0.25">
      <c r="A33" s="35"/>
      <c r="B33" s="35"/>
      <c r="C33" s="33" t="s">
        <v>127</v>
      </c>
      <c r="D33" s="34" t="s">
        <v>1</v>
      </c>
      <c r="F33" s="35">
        <v>4120</v>
      </c>
      <c r="G33" s="35">
        <f t="shared" si="1"/>
        <v>370650</v>
      </c>
      <c r="H33" s="35"/>
      <c r="I33" s="48">
        <v>833</v>
      </c>
      <c r="J33" s="32" t="s">
        <v>148</v>
      </c>
      <c r="K33" s="38" t="s">
        <v>0</v>
      </c>
      <c r="L33" s="32"/>
      <c r="M33" s="35"/>
      <c r="N33" s="39">
        <f t="shared" si="2"/>
        <v>161050</v>
      </c>
    </row>
    <row r="34" spans="1:14" s="36" customFormat="1" ht="15.75" customHeight="1" x14ac:dyDescent="0.25">
      <c r="A34" s="35"/>
      <c r="B34" s="35"/>
      <c r="C34" s="33" t="s">
        <v>52</v>
      </c>
      <c r="D34" s="34" t="s">
        <v>1</v>
      </c>
      <c r="F34" s="35">
        <v>10620</v>
      </c>
      <c r="G34" s="35">
        <f>G33+F33</f>
        <v>374770</v>
      </c>
      <c r="H34" s="35"/>
      <c r="I34" s="48">
        <v>834</v>
      </c>
      <c r="J34" s="46" t="s">
        <v>149</v>
      </c>
      <c r="K34" s="38" t="s">
        <v>0</v>
      </c>
      <c r="L34" s="35"/>
      <c r="M34" s="35"/>
      <c r="N34" s="39">
        <f t="shared" si="2"/>
        <v>161050</v>
      </c>
    </row>
    <row r="35" spans="1:14" s="36" customFormat="1" ht="15.75" customHeight="1" x14ac:dyDescent="0.25">
      <c r="A35" s="44"/>
      <c r="B35" s="35"/>
      <c r="C35" s="32" t="s">
        <v>158</v>
      </c>
      <c r="D35" s="38" t="s">
        <v>1</v>
      </c>
      <c r="F35" s="35"/>
      <c r="G35" s="35">
        <f t="shared" ref="G35:G38" si="3">G34+F34</f>
        <v>385390</v>
      </c>
      <c r="H35" s="44"/>
      <c r="I35" s="44"/>
      <c r="J35" s="47" t="s">
        <v>150</v>
      </c>
      <c r="K35" s="34"/>
      <c r="L35" s="35"/>
      <c r="M35" s="35"/>
      <c r="N35" s="39">
        <f t="shared" si="2"/>
        <v>161050</v>
      </c>
    </row>
    <row r="36" spans="1:14" s="36" customFormat="1" ht="15.75" customHeight="1" x14ac:dyDescent="0.25">
      <c r="A36" s="44"/>
      <c r="B36" s="35"/>
      <c r="C36" s="32" t="s">
        <v>152</v>
      </c>
      <c r="D36" s="38" t="s">
        <v>1</v>
      </c>
      <c r="E36" s="35"/>
      <c r="F36" s="35"/>
      <c r="G36" s="39">
        <f t="shared" si="3"/>
        <v>385390</v>
      </c>
      <c r="H36" s="44"/>
      <c r="I36" s="44"/>
      <c r="J36" s="45"/>
      <c r="K36" s="34"/>
      <c r="L36" s="35"/>
      <c r="M36" s="35"/>
      <c r="N36" s="39">
        <f t="shared" si="2"/>
        <v>161050</v>
      </c>
    </row>
    <row r="37" spans="1:14" s="36" customFormat="1" ht="15.75" customHeight="1" x14ac:dyDescent="0.25">
      <c r="A37" s="44"/>
      <c r="B37" s="35"/>
      <c r="C37" s="32" t="s">
        <v>153</v>
      </c>
      <c r="D37" s="38" t="s">
        <v>1</v>
      </c>
      <c r="E37" s="35"/>
      <c r="F37" s="35"/>
      <c r="G37" s="39">
        <f t="shared" si="3"/>
        <v>385390</v>
      </c>
      <c r="H37" s="44"/>
      <c r="I37" s="44"/>
      <c r="J37" s="45"/>
      <c r="K37" s="34"/>
      <c r="L37" s="35"/>
      <c r="M37" s="35"/>
      <c r="N37" s="39">
        <f t="shared" si="2"/>
        <v>161050</v>
      </c>
    </row>
    <row r="38" spans="1:14" s="36" customFormat="1" ht="15.75" customHeight="1" x14ac:dyDescent="0.25">
      <c r="A38" s="44"/>
      <c r="B38" s="35"/>
      <c r="C38" s="40" t="s">
        <v>159</v>
      </c>
      <c r="D38" s="38" t="s">
        <v>1</v>
      </c>
      <c r="E38" s="35"/>
      <c r="F38" s="35"/>
      <c r="G38" s="39">
        <f t="shared" si="3"/>
        <v>385390</v>
      </c>
      <c r="H38" s="44"/>
      <c r="I38" s="44"/>
      <c r="J38" s="45"/>
      <c r="K38" s="34"/>
      <c r="L38" s="35"/>
      <c r="M38" s="35"/>
      <c r="N38" s="39">
        <f t="shared" si="2"/>
        <v>161050</v>
      </c>
    </row>
    <row r="39" spans="1:14" ht="31.5" customHeight="1" x14ac:dyDescent="0.25">
      <c r="A39" s="60" t="s">
        <v>9</v>
      </c>
      <c r="B39" s="60"/>
      <c r="C39" s="61"/>
      <c r="D39" s="66">
        <f>G34+F34</f>
        <v>385390</v>
      </c>
      <c r="E39" s="66"/>
      <c r="F39" s="66"/>
      <c r="G39" s="66"/>
      <c r="H39" s="54" t="s">
        <v>10</v>
      </c>
      <c r="I39" s="54"/>
      <c r="J39" s="55"/>
      <c r="K39" s="66">
        <f>N34+M34</f>
        <v>161050</v>
      </c>
      <c r="L39" s="66"/>
      <c r="M39" s="66"/>
      <c r="N39" s="66"/>
    </row>
    <row r="40" spans="1:14" ht="30.75" customHeight="1" x14ac:dyDescent="0.25">
      <c r="A40" s="54" t="s">
        <v>10</v>
      </c>
      <c r="B40" s="54"/>
      <c r="C40" s="55"/>
      <c r="D40" s="67">
        <f>K39</f>
        <v>161050</v>
      </c>
      <c r="E40" s="67"/>
      <c r="F40" s="67"/>
      <c r="G40" s="67"/>
      <c r="H40" s="52"/>
      <c r="I40" s="52"/>
      <c r="J40" s="13"/>
      <c r="K40" s="53"/>
      <c r="L40" s="53"/>
      <c r="M40" s="53"/>
      <c r="N40" s="14"/>
    </row>
    <row r="41" spans="1:14" ht="36.75" customHeight="1" x14ac:dyDescent="0.25">
      <c r="A41" s="62" t="s">
        <v>11</v>
      </c>
      <c r="B41" s="62"/>
      <c r="C41" s="63"/>
      <c r="D41" s="71">
        <f>D39-D40</f>
        <v>224340</v>
      </c>
      <c r="E41" s="71"/>
      <c r="F41" s="71"/>
      <c r="G41" s="71"/>
      <c r="H41" s="52"/>
      <c r="I41" s="52"/>
      <c r="J41" s="13"/>
      <c r="K41" s="51"/>
      <c r="L41" s="51"/>
      <c r="M41" s="51"/>
      <c r="N41" s="15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41:C41"/>
    <mergeCell ref="D41:G41"/>
    <mergeCell ref="H41:I41"/>
    <mergeCell ref="K41:M41"/>
    <mergeCell ref="A4:E4"/>
    <mergeCell ref="A39:C39"/>
    <mergeCell ref="D39:G39"/>
    <mergeCell ref="H39:J39"/>
    <mergeCell ref="K39:N39"/>
    <mergeCell ref="A40:C40"/>
    <mergeCell ref="D40:G40"/>
    <mergeCell ref="H40:I40"/>
    <mergeCell ref="K40:M40"/>
  </mergeCells>
  <pageMargins left="0.33088235294117646" right="0" top="0.25" bottom="0" header="0.05" footer="0.05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N46"/>
  <sheetViews>
    <sheetView view="pageBreakPreview" topLeftCell="C13" zoomScale="115" zoomScaleNormal="145" zoomScaleSheetLayoutView="115" zoomScalePageLayoutView="85" workbookViewId="0">
      <selection activeCell="J26" sqref="J26:J28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 t="s">
        <v>160</v>
      </c>
      <c r="D3" s="70" t="s">
        <v>4</v>
      </c>
      <c r="E3" s="70"/>
      <c r="F3" s="17" t="s">
        <v>3</v>
      </c>
      <c r="G3" s="3">
        <v>45602</v>
      </c>
      <c r="H3" s="69" t="s">
        <v>8</v>
      </c>
      <c r="I3" s="69"/>
      <c r="J3" s="18" t="s">
        <v>160</v>
      </c>
      <c r="K3" s="56" t="s">
        <v>5</v>
      </c>
      <c r="L3" s="56"/>
      <c r="M3" s="17" t="s">
        <v>3</v>
      </c>
      <c r="N3" s="3">
        <v>45602</v>
      </c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(5)'!D41</f>
        <v>224340</v>
      </c>
      <c r="G4" s="8" t="s">
        <v>2</v>
      </c>
      <c r="H4" s="10"/>
      <c r="I4" s="10"/>
      <c r="J4" s="6" t="s">
        <v>18</v>
      </c>
      <c r="K4" s="9" t="s">
        <v>0</v>
      </c>
      <c r="L4" s="10"/>
      <c r="M4" s="10">
        <v>550</v>
      </c>
      <c r="N4" s="8" t="s">
        <v>2</v>
      </c>
    </row>
    <row r="5" spans="1:14" s="11" customFormat="1" ht="18.75" customHeight="1" x14ac:dyDescent="0.25">
      <c r="A5" s="8"/>
      <c r="B5" s="8"/>
      <c r="C5" s="33" t="s">
        <v>14</v>
      </c>
      <c r="D5" s="9" t="s">
        <v>1</v>
      </c>
      <c r="E5" s="8"/>
      <c r="F5" s="10">
        <v>4010</v>
      </c>
      <c r="G5" s="10">
        <f>F4</f>
        <v>224340</v>
      </c>
      <c r="H5" s="8"/>
      <c r="I5" s="8"/>
      <c r="J5" s="33" t="s">
        <v>19</v>
      </c>
      <c r="K5" s="9" t="s">
        <v>0</v>
      </c>
      <c r="L5" s="8"/>
      <c r="M5" s="10">
        <v>690</v>
      </c>
      <c r="N5" s="10">
        <f>M4</f>
        <v>550</v>
      </c>
    </row>
    <row r="6" spans="1:14" s="11" customFormat="1" ht="18.75" customHeight="1" x14ac:dyDescent="0.25">
      <c r="A6" s="8"/>
      <c r="B6" s="8"/>
      <c r="C6" s="33" t="s">
        <v>15</v>
      </c>
      <c r="D6" s="9" t="s">
        <v>1</v>
      </c>
      <c r="E6" s="8"/>
      <c r="F6" s="10">
        <v>30</v>
      </c>
      <c r="G6" s="10">
        <f>G5+F5</f>
        <v>228350</v>
      </c>
      <c r="H6" s="8"/>
      <c r="I6" s="8"/>
      <c r="J6" s="33" t="s">
        <v>17</v>
      </c>
      <c r="K6" s="9" t="s">
        <v>0</v>
      </c>
      <c r="L6" s="8"/>
      <c r="M6" s="10">
        <v>220</v>
      </c>
      <c r="N6" s="10">
        <f t="shared" ref="N6" si="0">N5+M5</f>
        <v>1240</v>
      </c>
    </row>
    <row r="7" spans="1:14" s="11" customFormat="1" ht="18.75" customHeight="1" x14ac:dyDescent="0.25">
      <c r="A7" s="8"/>
      <c r="B7" s="8"/>
      <c r="C7" s="33" t="s">
        <v>16</v>
      </c>
      <c r="D7" s="9" t="s">
        <v>1</v>
      </c>
      <c r="E7" s="8"/>
      <c r="F7" s="10">
        <v>20</v>
      </c>
      <c r="G7" s="10">
        <f t="shared" ref="G7:G33" si="1">G6+F6</f>
        <v>228380</v>
      </c>
      <c r="H7" s="8"/>
      <c r="I7" s="8"/>
      <c r="J7" s="6" t="s">
        <v>122</v>
      </c>
      <c r="K7" s="9" t="s">
        <v>0</v>
      </c>
      <c r="L7" s="8"/>
      <c r="M7" s="10">
        <v>5000</v>
      </c>
      <c r="N7" s="10">
        <f>N6+M6</f>
        <v>1460</v>
      </c>
    </row>
    <row r="8" spans="1:14" s="11" customFormat="1" ht="18.75" customHeight="1" x14ac:dyDescent="0.25">
      <c r="A8" s="8"/>
      <c r="B8" s="8"/>
      <c r="C8" s="6" t="s">
        <v>30</v>
      </c>
      <c r="D8" s="9" t="s">
        <v>1</v>
      </c>
      <c r="E8" s="8"/>
      <c r="F8" s="10">
        <v>25000</v>
      </c>
      <c r="G8" s="10">
        <f t="shared" si="1"/>
        <v>228400</v>
      </c>
      <c r="H8" s="8"/>
      <c r="I8" s="8">
        <v>829</v>
      </c>
      <c r="J8" s="6" t="s">
        <v>125</v>
      </c>
      <c r="K8" s="9" t="s">
        <v>0</v>
      </c>
      <c r="L8" s="8">
        <v>1053</v>
      </c>
      <c r="M8" s="10">
        <v>1840</v>
      </c>
      <c r="N8" s="10">
        <f t="shared" ref="N8:N34" si="2">N7+M7</f>
        <v>6460</v>
      </c>
    </row>
    <row r="9" spans="1:14" s="11" customFormat="1" ht="18.75" customHeight="1" x14ac:dyDescent="0.25">
      <c r="A9" s="8"/>
      <c r="B9" s="8"/>
      <c r="C9" s="6" t="s">
        <v>59</v>
      </c>
      <c r="D9" s="9" t="s">
        <v>1</v>
      </c>
      <c r="E9" s="8"/>
      <c r="F9" s="10">
        <v>40000</v>
      </c>
      <c r="G9" s="10">
        <f t="shared" si="1"/>
        <v>253400</v>
      </c>
      <c r="H9" s="8"/>
      <c r="I9" s="8">
        <v>830</v>
      </c>
      <c r="J9" s="6" t="s">
        <v>30</v>
      </c>
      <c r="K9" s="9" t="s">
        <v>0</v>
      </c>
      <c r="L9" s="8">
        <v>1052</v>
      </c>
      <c r="M9" s="10">
        <v>15640</v>
      </c>
      <c r="N9" s="10">
        <f t="shared" si="2"/>
        <v>8300</v>
      </c>
    </row>
    <row r="10" spans="1:14" s="11" customFormat="1" ht="18.75" customHeight="1" x14ac:dyDescent="0.25">
      <c r="A10" s="8"/>
      <c r="B10" s="8"/>
      <c r="C10" s="6" t="s">
        <v>165</v>
      </c>
      <c r="D10" s="9" t="s">
        <v>1</v>
      </c>
      <c r="E10" s="8"/>
      <c r="F10" s="10">
        <v>3730</v>
      </c>
      <c r="G10" s="10">
        <f t="shared" si="1"/>
        <v>293400</v>
      </c>
      <c r="H10" s="8"/>
      <c r="I10" s="8">
        <v>831</v>
      </c>
      <c r="J10" s="6" t="s">
        <v>58</v>
      </c>
      <c r="K10" s="9" t="s">
        <v>0</v>
      </c>
      <c r="L10" s="8">
        <v>1054</v>
      </c>
      <c r="M10" s="10">
        <v>23870</v>
      </c>
      <c r="N10" s="10">
        <f t="shared" si="2"/>
        <v>23940</v>
      </c>
    </row>
    <row r="11" spans="1:14" s="11" customFormat="1" ht="18.75" customHeight="1" x14ac:dyDescent="0.25">
      <c r="A11" s="8"/>
      <c r="B11" s="8"/>
      <c r="C11" s="6" t="s">
        <v>34</v>
      </c>
      <c r="D11" s="9" t="s">
        <v>1</v>
      </c>
      <c r="E11" s="8"/>
      <c r="F11" s="10">
        <v>100000</v>
      </c>
      <c r="G11" s="10">
        <f t="shared" si="1"/>
        <v>297130</v>
      </c>
      <c r="H11" s="8"/>
      <c r="I11" s="8">
        <v>832</v>
      </c>
      <c r="J11" s="6" t="s">
        <v>59</v>
      </c>
      <c r="K11" s="9" t="s">
        <v>0</v>
      </c>
      <c r="L11" s="8">
        <v>1055</v>
      </c>
      <c r="M11" s="10">
        <v>910</v>
      </c>
      <c r="N11" s="10">
        <f t="shared" si="2"/>
        <v>47810</v>
      </c>
    </row>
    <row r="12" spans="1:14" s="11" customFormat="1" ht="18.75" customHeight="1" x14ac:dyDescent="0.25">
      <c r="A12" s="8"/>
      <c r="B12" s="8"/>
      <c r="C12" s="6" t="s">
        <v>60</v>
      </c>
      <c r="D12" s="9" t="s">
        <v>1</v>
      </c>
      <c r="E12" s="8"/>
      <c r="F12" s="10">
        <v>50000</v>
      </c>
      <c r="G12" s="10">
        <f t="shared" si="1"/>
        <v>397130</v>
      </c>
      <c r="H12" s="8"/>
      <c r="I12" s="8">
        <v>833</v>
      </c>
      <c r="J12" s="6" t="s">
        <v>33</v>
      </c>
      <c r="K12" s="9" t="s">
        <v>0</v>
      </c>
      <c r="L12" s="8">
        <v>1063</v>
      </c>
      <c r="M12" s="10">
        <v>3680</v>
      </c>
      <c r="N12" s="10">
        <f t="shared" si="2"/>
        <v>48720</v>
      </c>
    </row>
    <row r="13" spans="1:14" s="11" customFormat="1" ht="18.75" customHeight="1" x14ac:dyDescent="0.25">
      <c r="A13" s="8"/>
      <c r="B13" s="8"/>
      <c r="C13" s="6" t="s">
        <v>66</v>
      </c>
      <c r="D13" s="9" t="s">
        <v>1</v>
      </c>
      <c r="E13" s="8"/>
      <c r="F13" s="10">
        <v>10000</v>
      </c>
      <c r="G13" s="10">
        <f t="shared" si="1"/>
        <v>447130</v>
      </c>
      <c r="H13" s="8"/>
      <c r="I13" s="8">
        <v>834</v>
      </c>
      <c r="J13" s="6" t="s">
        <v>60</v>
      </c>
      <c r="K13" s="9" t="s">
        <v>0</v>
      </c>
      <c r="L13" s="8">
        <v>1056</v>
      </c>
      <c r="M13" s="10">
        <v>7200</v>
      </c>
      <c r="N13" s="10">
        <f t="shared" si="2"/>
        <v>52400</v>
      </c>
    </row>
    <row r="14" spans="1:14" s="11" customFormat="1" ht="18.75" customHeight="1" x14ac:dyDescent="0.25">
      <c r="A14" s="8"/>
      <c r="B14" s="8"/>
      <c r="C14" s="6" t="s">
        <v>76</v>
      </c>
      <c r="D14" s="9" t="s">
        <v>1</v>
      </c>
      <c r="E14" s="8"/>
      <c r="F14" s="10">
        <v>5100</v>
      </c>
      <c r="G14" s="10">
        <f t="shared" si="1"/>
        <v>457130</v>
      </c>
      <c r="H14" s="8"/>
      <c r="I14" s="8">
        <v>835</v>
      </c>
      <c r="J14" s="6" t="s">
        <v>161</v>
      </c>
      <c r="K14" s="9" t="s">
        <v>0</v>
      </c>
      <c r="L14" s="8">
        <v>1058</v>
      </c>
      <c r="M14" s="10">
        <v>5530</v>
      </c>
      <c r="N14" s="10">
        <f t="shared" si="2"/>
        <v>59600</v>
      </c>
    </row>
    <row r="15" spans="1:14" s="11" customFormat="1" ht="18.75" customHeight="1" x14ac:dyDescent="0.25">
      <c r="A15" s="10"/>
      <c r="B15" s="10"/>
      <c r="C15" s="6" t="s">
        <v>129</v>
      </c>
      <c r="D15" s="9" t="s">
        <v>1</v>
      </c>
      <c r="E15" s="8"/>
      <c r="F15" s="10">
        <v>8000</v>
      </c>
      <c r="G15" s="10">
        <f t="shared" si="1"/>
        <v>462230</v>
      </c>
      <c r="H15" s="10"/>
      <c r="I15" s="8">
        <v>836</v>
      </c>
      <c r="J15" s="6" t="s">
        <v>162</v>
      </c>
      <c r="K15" s="9" t="s">
        <v>0</v>
      </c>
      <c r="L15" s="8">
        <v>1059</v>
      </c>
      <c r="M15" s="10">
        <v>7120</v>
      </c>
      <c r="N15" s="10">
        <f t="shared" si="2"/>
        <v>65130</v>
      </c>
    </row>
    <row r="16" spans="1:14" s="11" customFormat="1" ht="18.75" customHeight="1" x14ac:dyDescent="0.25">
      <c r="A16" s="10"/>
      <c r="B16" s="10"/>
      <c r="C16" s="6" t="s">
        <v>39</v>
      </c>
      <c r="D16" s="9" t="s">
        <v>1</v>
      </c>
      <c r="E16" s="8"/>
      <c r="F16" s="10">
        <v>5500</v>
      </c>
      <c r="G16" s="10">
        <f t="shared" si="1"/>
        <v>470230</v>
      </c>
      <c r="H16" s="10"/>
      <c r="I16" s="8">
        <v>837</v>
      </c>
      <c r="J16" s="6" t="s">
        <v>163</v>
      </c>
      <c r="K16" s="9" t="s">
        <v>0</v>
      </c>
      <c r="L16" s="8">
        <v>1060</v>
      </c>
      <c r="M16" s="10">
        <v>1280</v>
      </c>
      <c r="N16" s="10">
        <f t="shared" si="2"/>
        <v>72250</v>
      </c>
    </row>
    <row r="17" spans="1:14" s="11" customFormat="1" ht="18.75" customHeight="1" x14ac:dyDescent="0.25">
      <c r="A17" s="10"/>
      <c r="B17" s="10"/>
      <c r="C17" s="6" t="s">
        <v>91</v>
      </c>
      <c r="D17" s="9" t="s">
        <v>1</v>
      </c>
      <c r="E17" s="8"/>
      <c r="F17" s="10">
        <v>4410</v>
      </c>
      <c r="G17" s="10">
        <f t="shared" si="1"/>
        <v>475730</v>
      </c>
      <c r="H17" s="10"/>
      <c r="I17" s="8">
        <v>838</v>
      </c>
      <c r="J17" s="6" t="s">
        <v>75</v>
      </c>
      <c r="K17" s="9" t="s">
        <v>0</v>
      </c>
      <c r="L17" s="8">
        <v>1062</v>
      </c>
      <c r="M17" s="10">
        <v>2470</v>
      </c>
      <c r="N17" s="10">
        <f t="shared" si="2"/>
        <v>73530</v>
      </c>
    </row>
    <row r="18" spans="1:14" s="11" customFormat="1" ht="18.75" customHeight="1" x14ac:dyDescent="0.25">
      <c r="A18" s="10"/>
      <c r="B18" s="10"/>
      <c r="C18" s="6" t="s">
        <v>70</v>
      </c>
      <c r="D18" s="9" t="s">
        <v>1</v>
      </c>
      <c r="E18" s="8"/>
      <c r="F18" s="10">
        <v>2110</v>
      </c>
      <c r="G18" s="10">
        <f t="shared" si="1"/>
        <v>480140</v>
      </c>
      <c r="H18" s="10"/>
      <c r="I18" s="8">
        <v>839</v>
      </c>
      <c r="J18" s="6" t="s">
        <v>66</v>
      </c>
      <c r="K18" s="9" t="s">
        <v>0</v>
      </c>
      <c r="L18" s="8">
        <v>1057</v>
      </c>
      <c r="M18" s="10">
        <v>15680</v>
      </c>
      <c r="N18" s="10">
        <f t="shared" si="2"/>
        <v>76000</v>
      </c>
    </row>
    <row r="19" spans="1:14" s="11" customFormat="1" ht="18.75" customHeight="1" x14ac:dyDescent="0.25">
      <c r="A19" s="10"/>
      <c r="B19" s="10"/>
      <c r="C19" s="6" t="s">
        <v>144</v>
      </c>
      <c r="D19" s="9" t="s">
        <v>1</v>
      </c>
      <c r="E19" s="8"/>
      <c r="F19" s="10">
        <v>1240</v>
      </c>
      <c r="G19" s="10">
        <f t="shared" si="1"/>
        <v>482250</v>
      </c>
      <c r="H19" s="10"/>
      <c r="I19" s="8">
        <v>840</v>
      </c>
      <c r="J19" s="6" t="s">
        <v>164</v>
      </c>
      <c r="K19" s="9" t="s">
        <v>0</v>
      </c>
      <c r="L19" s="8">
        <v>1061</v>
      </c>
      <c r="M19" s="10">
        <v>1100</v>
      </c>
      <c r="N19" s="10">
        <f t="shared" si="2"/>
        <v>91680</v>
      </c>
    </row>
    <row r="20" spans="1:14" s="11" customFormat="1" ht="18.75" customHeight="1" x14ac:dyDescent="0.25">
      <c r="A20" s="10"/>
      <c r="B20" s="10"/>
      <c r="C20" s="6" t="s">
        <v>143</v>
      </c>
      <c r="D20" s="9" t="s">
        <v>1</v>
      </c>
      <c r="E20" s="8"/>
      <c r="F20" s="10">
        <v>4220</v>
      </c>
      <c r="G20" s="10">
        <f t="shared" si="1"/>
        <v>483490</v>
      </c>
      <c r="H20" s="10"/>
      <c r="I20" s="8">
        <v>841</v>
      </c>
      <c r="J20" s="6" t="s">
        <v>52</v>
      </c>
      <c r="K20" s="9" t="s">
        <v>0</v>
      </c>
      <c r="L20" s="8">
        <v>1150</v>
      </c>
      <c r="M20" s="10">
        <v>13640</v>
      </c>
      <c r="N20" s="10">
        <f t="shared" si="2"/>
        <v>92780</v>
      </c>
    </row>
    <row r="21" spans="1:14" s="11" customFormat="1" ht="18.75" customHeight="1" x14ac:dyDescent="0.25">
      <c r="A21" s="10"/>
      <c r="B21" s="10"/>
      <c r="C21" s="6" t="s">
        <v>86</v>
      </c>
      <c r="D21" s="9" t="s">
        <v>1</v>
      </c>
      <c r="E21" s="8"/>
      <c r="F21" s="10">
        <v>7140</v>
      </c>
      <c r="G21" s="10">
        <f t="shared" si="1"/>
        <v>487710</v>
      </c>
      <c r="H21" s="10"/>
      <c r="I21" s="10"/>
      <c r="J21" s="10"/>
      <c r="K21" s="50" t="s">
        <v>0</v>
      </c>
      <c r="L21" s="8"/>
      <c r="M21" s="10"/>
      <c r="N21" s="10">
        <f t="shared" si="2"/>
        <v>106420</v>
      </c>
    </row>
    <row r="22" spans="1:14" s="11" customFormat="1" ht="18.75" customHeight="1" x14ac:dyDescent="0.25">
      <c r="A22" s="10"/>
      <c r="B22" s="10"/>
      <c r="C22" s="6" t="s">
        <v>50</v>
      </c>
      <c r="D22" s="9" t="s">
        <v>1</v>
      </c>
      <c r="E22" s="8"/>
      <c r="F22" s="10">
        <v>5390</v>
      </c>
      <c r="G22" s="10">
        <f t="shared" si="1"/>
        <v>494850</v>
      </c>
      <c r="H22" s="10"/>
      <c r="I22" s="10"/>
      <c r="J22" s="10"/>
      <c r="K22" s="50" t="s">
        <v>0</v>
      </c>
      <c r="L22" s="8"/>
      <c r="M22" s="10"/>
      <c r="N22" s="23">
        <f t="shared" si="2"/>
        <v>106420</v>
      </c>
    </row>
    <row r="23" spans="1:14" s="11" customFormat="1" ht="18.75" customHeight="1" x14ac:dyDescent="0.25">
      <c r="A23" s="10"/>
      <c r="B23" s="10"/>
      <c r="C23" s="6" t="s">
        <v>46</v>
      </c>
      <c r="D23" s="9" t="s">
        <v>1</v>
      </c>
      <c r="E23" s="8"/>
      <c r="F23" s="10">
        <v>2730</v>
      </c>
      <c r="G23" s="10">
        <f t="shared" si="1"/>
        <v>500240</v>
      </c>
      <c r="H23" s="10"/>
      <c r="I23" s="10"/>
      <c r="J23" s="10"/>
      <c r="K23" s="50" t="s">
        <v>0</v>
      </c>
      <c r="L23" s="8"/>
      <c r="M23" s="10"/>
      <c r="N23" s="23">
        <f t="shared" si="2"/>
        <v>106420</v>
      </c>
    </row>
    <row r="24" spans="1:14" s="11" customFormat="1" ht="18.75" customHeight="1" x14ac:dyDescent="0.25">
      <c r="A24" s="10"/>
      <c r="B24" s="10"/>
      <c r="C24" s="6" t="s">
        <v>88</v>
      </c>
      <c r="D24" s="9" t="s">
        <v>1</v>
      </c>
      <c r="E24" s="8"/>
      <c r="F24" s="10">
        <v>2980</v>
      </c>
      <c r="G24" s="10">
        <f t="shared" si="1"/>
        <v>502970</v>
      </c>
      <c r="H24" s="10"/>
      <c r="I24" s="10"/>
      <c r="J24" s="10"/>
      <c r="K24" s="50" t="s">
        <v>0</v>
      </c>
      <c r="L24" s="8"/>
      <c r="M24" s="10"/>
      <c r="N24" s="23">
        <f t="shared" si="2"/>
        <v>106420</v>
      </c>
    </row>
    <row r="25" spans="1:14" s="11" customFormat="1" ht="18.75" customHeight="1" x14ac:dyDescent="0.25">
      <c r="A25" s="10"/>
      <c r="B25" s="10"/>
      <c r="C25" s="6" t="s">
        <v>166</v>
      </c>
      <c r="D25" s="9" t="s">
        <v>1</v>
      </c>
      <c r="E25" s="8"/>
      <c r="F25" s="10">
        <v>3930</v>
      </c>
      <c r="G25" s="10">
        <f t="shared" si="1"/>
        <v>505950</v>
      </c>
      <c r="H25" s="10"/>
      <c r="I25" s="10"/>
      <c r="J25" s="10"/>
      <c r="K25" s="50" t="s">
        <v>0</v>
      </c>
      <c r="L25" s="8"/>
      <c r="M25" s="10"/>
      <c r="N25" s="23">
        <f t="shared" si="2"/>
        <v>106420</v>
      </c>
    </row>
    <row r="26" spans="1:14" s="11" customFormat="1" ht="18.75" customHeight="1" x14ac:dyDescent="0.25">
      <c r="A26" s="10"/>
      <c r="B26" s="10"/>
      <c r="C26" s="6" t="s">
        <v>142</v>
      </c>
      <c r="D26" s="9" t="s">
        <v>1</v>
      </c>
      <c r="E26" s="8"/>
      <c r="F26" s="10">
        <v>1890</v>
      </c>
      <c r="G26" s="10">
        <f t="shared" si="1"/>
        <v>509880</v>
      </c>
      <c r="H26" s="10"/>
      <c r="I26" s="10"/>
      <c r="J26" s="32" t="s">
        <v>167</v>
      </c>
      <c r="K26" s="50" t="s">
        <v>0</v>
      </c>
      <c r="L26" s="8"/>
      <c r="M26" s="10"/>
      <c r="N26" s="23">
        <f t="shared" si="2"/>
        <v>106420</v>
      </c>
    </row>
    <row r="27" spans="1:14" s="11" customFormat="1" ht="18.75" customHeight="1" x14ac:dyDescent="0.25">
      <c r="A27" s="10"/>
      <c r="B27" s="10"/>
      <c r="C27" s="6" t="s">
        <v>58</v>
      </c>
      <c r="D27" s="9" t="s">
        <v>1</v>
      </c>
      <c r="E27" s="8"/>
      <c r="F27" s="10">
        <v>25000</v>
      </c>
      <c r="G27" s="10">
        <f t="shared" si="1"/>
        <v>511770</v>
      </c>
      <c r="H27" s="10"/>
      <c r="I27" s="10"/>
      <c r="J27" s="46" t="s">
        <v>168</v>
      </c>
      <c r="K27" s="50" t="s">
        <v>0</v>
      </c>
      <c r="L27" s="8"/>
      <c r="M27" s="10"/>
      <c r="N27" s="23">
        <f t="shared" si="2"/>
        <v>106420</v>
      </c>
    </row>
    <row r="28" spans="1:14" s="11" customFormat="1" ht="18.75" customHeight="1" x14ac:dyDescent="0.25">
      <c r="A28" s="10"/>
      <c r="B28" s="10"/>
      <c r="C28" s="6" t="s">
        <v>52</v>
      </c>
      <c r="D28" s="9" t="s">
        <v>1</v>
      </c>
      <c r="E28" s="8"/>
      <c r="F28" s="10">
        <v>13640</v>
      </c>
      <c r="G28" s="10">
        <f t="shared" si="1"/>
        <v>536770</v>
      </c>
      <c r="H28" s="10"/>
      <c r="I28" s="10"/>
      <c r="J28" s="47" t="s">
        <v>169</v>
      </c>
      <c r="K28" s="50" t="s">
        <v>0</v>
      </c>
      <c r="L28" s="8"/>
      <c r="M28" s="10"/>
      <c r="N28" s="23">
        <f t="shared" si="2"/>
        <v>106420</v>
      </c>
    </row>
    <row r="29" spans="1:14" s="11" customFormat="1" ht="18.75" customHeight="1" x14ac:dyDescent="0.25">
      <c r="A29" s="10"/>
      <c r="B29" s="10"/>
      <c r="C29" s="10"/>
      <c r="D29" s="22" t="s">
        <v>1</v>
      </c>
      <c r="E29" s="8"/>
      <c r="F29" s="10"/>
      <c r="G29" s="10">
        <f t="shared" si="1"/>
        <v>550410</v>
      </c>
      <c r="H29" s="10"/>
      <c r="I29" s="10"/>
      <c r="J29" s="10"/>
      <c r="K29" s="50" t="s">
        <v>0</v>
      </c>
      <c r="L29" s="8"/>
      <c r="M29" s="10"/>
      <c r="N29" s="23">
        <f t="shared" si="2"/>
        <v>106420</v>
      </c>
    </row>
    <row r="30" spans="1:14" s="11" customFormat="1" ht="18.75" customHeight="1" x14ac:dyDescent="0.25">
      <c r="A30" s="10"/>
      <c r="B30" s="10"/>
      <c r="C30" s="32" t="s">
        <v>170</v>
      </c>
      <c r="D30" s="22" t="s">
        <v>1</v>
      </c>
      <c r="E30" s="8"/>
      <c r="F30" s="10"/>
      <c r="G30" s="23">
        <f t="shared" si="1"/>
        <v>550410</v>
      </c>
      <c r="H30" s="10"/>
      <c r="I30" s="10"/>
      <c r="J30" s="10"/>
      <c r="K30" s="50" t="s">
        <v>0</v>
      </c>
      <c r="L30" s="8"/>
      <c r="M30" s="10"/>
      <c r="N30" s="23">
        <f t="shared" si="2"/>
        <v>106420</v>
      </c>
    </row>
    <row r="31" spans="1:14" s="11" customFormat="1" ht="18.75" customHeight="1" x14ac:dyDescent="0.25">
      <c r="A31" s="10"/>
      <c r="B31" s="10"/>
      <c r="C31" s="32" t="s">
        <v>172</v>
      </c>
      <c r="D31" s="22" t="s">
        <v>1</v>
      </c>
      <c r="E31" s="8"/>
      <c r="F31" s="10"/>
      <c r="G31" s="23">
        <f t="shared" si="1"/>
        <v>550410</v>
      </c>
      <c r="H31" s="10"/>
      <c r="I31" s="10"/>
      <c r="J31" s="10"/>
      <c r="K31" s="50" t="s">
        <v>0</v>
      </c>
      <c r="L31" s="8"/>
      <c r="M31" s="10"/>
      <c r="N31" s="23">
        <f t="shared" si="2"/>
        <v>106420</v>
      </c>
    </row>
    <row r="32" spans="1:14" s="11" customFormat="1" ht="18.75" customHeight="1" x14ac:dyDescent="0.25">
      <c r="A32" s="10"/>
      <c r="B32" s="10"/>
      <c r="C32" s="32" t="s">
        <v>171</v>
      </c>
      <c r="D32" s="22" t="s">
        <v>1</v>
      </c>
      <c r="E32" s="8"/>
      <c r="F32" s="10"/>
      <c r="G32" s="23">
        <f t="shared" si="1"/>
        <v>550410</v>
      </c>
      <c r="H32" s="10"/>
      <c r="I32" s="10"/>
      <c r="J32" s="10"/>
      <c r="K32" s="50" t="s">
        <v>0</v>
      </c>
      <c r="L32" s="8"/>
      <c r="M32" s="10"/>
      <c r="N32" s="23">
        <f t="shared" si="2"/>
        <v>106420</v>
      </c>
    </row>
    <row r="33" spans="1:14" s="11" customFormat="1" ht="18.75" customHeight="1" x14ac:dyDescent="0.25">
      <c r="A33" s="10"/>
      <c r="B33" s="10"/>
      <c r="C33" s="40" t="s">
        <v>173</v>
      </c>
      <c r="D33" s="22" t="s">
        <v>1</v>
      </c>
      <c r="E33" s="8"/>
      <c r="F33" s="10"/>
      <c r="G33" s="23">
        <f t="shared" si="1"/>
        <v>550410</v>
      </c>
      <c r="H33" s="10"/>
      <c r="I33" s="10"/>
      <c r="J33" s="10"/>
      <c r="K33" s="50" t="s">
        <v>0</v>
      </c>
      <c r="L33" s="8"/>
      <c r="M33" s="10"/>
      <c r="N33" s="23">
        <f t="shared" si="2"/>
        <v>106420</v>
      </c>
    </row>
    <row r="34" spans="1:14" s="11" customFormat="1" ht="18.75" customHeight="1" x14ac:dyDescent="0.25">
      <c r="A34" s="10"/>
      <c r="B34" s="10"/>
      <c r="C34" s="10"/>
      <c r="D34" s="22" t="s">
        <v>1</v>
      </c>
      <c r="E34" s="10"/>
      <c r="F34" s="10"/>
      <c r="G34" s="23">
        <f>G33+F33</f>
        <v>550410</v>
      </c>
      <c r="H34" s="10"/>
      <c r="I34" s="10"/>
      <c r="J34" s="10"/>
      <c r="K34" s="50" t="s">
        <v>0</v>
      </c>
      <c r="L34" s="10"/>
      <c r="M34" s="10"/>
      <c r="N34" s="23">
        <f t="shared" si="2"/>
        <v>106420</v>
      </c>
    </row>
    <row r="35" spans="1:14" ht="31.5" customHeight="1" x14ac:dyDescent="0.25">
      <c r="A35" s="60" t="s">
        <v>9</v>
      </c>
      <c r="B35" s="60"/>
      <c r="C35" s="61"/>
      <c r="D35" s="66">
        <f>G34+F34</f>
        <v>550410</v>
      </c>
      <c r="E35" s="66"/>
      <c r="F35" s="66"/>
      <c r="G35" s="66"/>
      <c r="H35" s="54" t="s">
        <v>10</v>
      </c>
      <c r="I35" s="54"/>
      <c r="J35" s="55"/>
      <c r="K35" s="66">
        <f>N34+M34</f>
        <v>106420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106420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443990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N46"/>
  <sheetViews>
    <sheetView view="pageBreakPreview" topLeftCell="A10" zoomScale="115" zoomScaleNormal="145" zoomScaleSheetLayoutView="115" zoomScalePageLayoutView="85" workbookViewId="0">
      <selection activeCell="J25" sqref="J25:J28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 t="s">
        <v>174</v>
      </c>
      <c r="D3" s="70" t="s">
        <v>4</v>
      </c>
      <c r="E3" s="70"/>
      <c r="F3" s="17" t="s">
        <v>3</v>
      </c>
      <c r="G3" s="3">
        <v>45603</v>
      </c>
      <c r="H3" s="69" t="s">
        <v>8</v>
      </c>
      <c r="I3" s="69"/>
      <c r="J3" s="18" t="s">
        <v>174</v>
      </c>
      <c r="K3" s="56" t="s">
        <v>5</v>
      </c>
      <c r="L3" s="56"/>
      <c r="M3" s="17" t="s">
        <v>3</v>
      </c>
      <c r="N3" s="3">
        <v>45603</v>
      </c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(6)'!D37</f>
        <v>443990</v>
      </c>
      <c r="G4" s="8" t="s">
        <v>2</v>
      </c>
      <c r="H4" s="10"/>
      <c r="I4" s="10"/>
      <c r="J4" s="6" t="s">
        <v>18</v>
      </c>
      <c r="K4" s="9" t="s">
        <v>0</v>
      </c>
      <c r="L4" s="10"/>
      <c r="M4" s="10">
        <v>17570</v>
      </c>
      <c r="N4" s="8" t="s">
        <v>2</v>
      </c>
    </row>
    <row r="5" spans="1:14" s="11" customFormat="1" ht="21" customHeight="1" x14ac:dyDescent="0.25">
      <c r="A5" s="8"/>
      <c r="B5" s="8"/>
      <c r="C5" s="33" t="s">
        <v>14</v>
      </c>
      <c r="D5" s="9" t="s">
        <v>1</v>
      </c>
      <c r="E5" s="8"/>
      <c r="F5" s="10">
        <v>5220</v>
      </c>
      <c r="G5" s="10">
        <f>F4</f>
        <v>443990</v>
      </c>
      <c r="H5" s="8"/>
      <c r="I5" s="8"/>
      <c r="J5" s="33" t="s">
        <v>19</v>
      </c>
      <c r="K5" s="9" t="s">
        <v>0</v>
      </c>
      <c r="L5" s="8"/>
      <c r="M5" s="10">
        <v>590</v>
      </c>
      <c r="N5" s="10">
        <f>M4</f>
        <v>17570</v>
      </c>
    </row>
    <row r="6" spans="1:14" s="11" customFormat="1" ht="21" customHeight="1" x14ac:dyDescent="0.25">
      <c r="A6" s="8"/>
      <c r="B6" s="8"/>
      <c r="C6" s="33" t="s">
        <v>15</v>
      </c>
      <c r="D6" s="9" t="s">
        <v>1</v>
      </c>
      <c r="E6" s="8"/>
      <c r="F6" s="10">
        <v>90</v>
      </c>
      <c r="G6" s="10">
        <f>G5+F5</f>
        <v>449210</v>
      </c>
      <c r="H6" s="8"/>
      <c r="I6" s="8"/>
      <c r="J6" s="33" t="s">
        <v>17</v>
      </c>
      <c r="K6" s="9" t="s">
        <v>0</v>
      </c>
      <c r="L6" s="8"/>
      <c r="M6" s="10">
        <v>470</v>
      </c>
      <c r="N6" s="10">
        <f t="shared" ref="N6" si="0">N5+M5</f>
        <v>18160</v>
      </c>
    </row>
    <row r="7" spans="1:14" s="11" customFormat="1" ht="21" customHeight="1" x14ac:dyDescent="0.25">
      <c r="A7" s="8"/>
      <c r="B7" s="8"/>
      <c r="C7" s="33" t="s">
        <v>16</v>
      </c>
      <c r="D7" s="9" t="s">
        <v>1</v>
      </c>
      <c r="E7" s="8"/>
      <c r="F7" s="10">
        <v>90</v>
      </c>
      <c r="G7" s="10">
        <f t="shared" ref="G7:G33" si="1">G6+F6</f>
        <v>449300</v>
      </c>
      <c r="H7" s="8"/>
      <c r="I7" s="8"/>
      <c r="J7" s="6" t="s">
        <v>177</v>
      </c>
      <c r="K7" s="9" t="s">
        <v>0</v>
      </c>
      <c r="L7" s="8"/>
      <c r="M7" s="10">
        <v>140000</v>
      </c>
      <c r="N7" s="10">
        <f>N6+M6</f>
        <v>18630</v>
      </c>
    </row>
    <row r="8" spans="1:14" s="11" customFormat="1" ht="21" customHeight="1" x14ac:dyDescent="0.25">
      <c r="A8" s="8"/>
      <c r="B8" s="8"/>
      <c r="C8" s="6" t="s">
        <v>175</v>
      </c>
      <c r="D8" s="9" t="s">
        <v>1</v>
      </c>
      <c r="E8" s="8"/>
      <c r="F8" s="10">
        <v>5050</v>
      </c>
      <c r="G8" s="10">
        <f t="shared" si="1"/>
        <v>449390</v>
      </c>
      <c r="H8" s="8"/>
      <c r="I8" s="8">
        <v>842</v>
      </c>
      <c r="J8" s="6" t="s">
        <v>178</v>
      </c>
      <c r="K8" s="9" t="s">
        <v>0</v>
      </c>
      <c r="L8" s="8">
        <v>2</v>
      </c>
      <c r="M8" s="10">
        <v>1660</v>
      </c>
      <c r="N8" s="10">
        <f t="shared" ref="N8:N34" si="2">N7+M7</f>
        <v>158630</v>
      </c>
    </row>
    <row r="9" spans="1:14" s="11" customFormat="1" ht="21" customHeight="1" x14ac:dyDescent="0.25">
      <c r="A9" s="8"/>
      <c r="B9" s="8"/>
      <c r="C9" s="6" t="s">
        <v>35</v>
      </c>
      <c r="D9" s="9" t="s">
        <v>1</v>
      </c>
      <c r="E9" s="8"/>
      <c r="F9" s="10">
        <v>10000</v>
      </c>
      <c r="G9" s="10">
        <f t="shared" si="1"/>
        <v>454440</v>
      </c>
      <c r="H9" s="8"/>
      <c r="I9" s="8">
        <v>843</v>
      </c>
      <c r="J9" s="6" t="s">
        <v>31</v>
      </c>
      <c r="K9" s="9" t="s">
        <v>0</v>
      </c>
      <c r="L9" s="8">
        <v>14</v>
      </c>
      <c r="M9" s="10">
        <v>33320</v>
      </c>
      <c r="N9" s="10">
        <f t="shared" si="2"/>
        <v>160290</v>
      </c>
    </row>
    <row r="10" spans="1:14" s="11" customFormat="1" ht="21" customHeight="1" x14ac:dyDescent="0.25">
      <c r="A10" s="8"/>
      <c r="B10" s="8"/>
      <c r="C10" s="6" t="s">
        <v>71</v>
      </c>
      <c r="D10" s="9" t="s">
        <v>1</v>
      </c>
      <c r="E10" s="8"/>
      <c r="F10" s="10">
        <v>2020</v>
      </c>
      <c r="G10" s="10">
        <f t="shared" si="1"/>
        <v>464440</v>
      </c>
      <c r="H10" s="8"/>
      <c r="I10" s="8">
        <v>844</v>
      </c>
      <c r="J10" s="6" t="s">
        <v>46</v>
      </c>
      <c r="K10" s="9" t="s">
        <v>0</v>
      </c>
      <c r="L10" s="8">
        <v>11</v>
      </c>
      <c r="M10" s="10">
        <v>1660</v>
      </c>
      <c r="N10" s="10">
        <f t="shared" si="2"/>
        <v>193610</v>
      </c>
    </row>
    <row r="11" spans="1:14" s="11" customFormat="1" ht="21" customHeight="1" x14ac:dyDescent="0.25">
      <c r="A11" s="8"/>
      <c r="B11" s="8"/>
      <c r="C11" s="6" t="s">
        <v>128</v>
      </c>
      <c r="D11" s="9" t="s">
        <v>1</v>
      </c>
      <c r="E11" s="8"/>
      <c r="F11" s="10">
        <v>3430</v>
      </c>
      <c r="G11" s="10">
        <f t="shared" si="1"/>
        <v>466460</v>
      </c>
      <c r="H11" s="8"/>
      <c r="I11" s="8">
        <v>845</v>
      </c>
      <c r="J11" s="6" t="s">
        <v>58</v>
      </c>
      <c r="K11" s="9" t="s">
        <v>0</v>
      </c>
      <c r="L11" s="8">
        <v>4</v>
      </c>
      <c r="M11" s="10">
        <v>3480</v>
      </c>
      <c r="N11" s="10">
        <f t="shared" si="2"/>
        <v>195270</v>
      </c>
    </row>
    <row r="12" spans="1:14" s="11" customFormat="1" ht="21" customHeight="1" x14ac:dyDescent="0.25">
      <c r="A12" s="8"/>
      <c r="B12" s="8"/>
      <c r="C12" s="6" t="s">
        <v>176</v>
      </c>
      <c r="D12" s="9" t="s">
        <v>1</v>
      </c>
      <c r="E12" s="8"/>
      <c r="F12" s="10">
        <v>1920</v>
      </c>
      <c r="G12" s="10">
        <f t="shared" si="1"/>
        <v>469890</v>
      </c>
      <c r="H12" s="8"/>
      <c r="I12" s="8">
        <v>846</v>
      </c>
      <c r="J12" s="6" t="s">
        <v>36</v>
      </c>
      <c r="K12" s="9" t="s">
        <v>0</v>
      </c>
      <c r="L12" s="8">
        <v>3</v>
      </c>
      <c r="M12" s="10">
        <v>12890</v>
      </c>
      <c r="N12" s="10">
        <f t="shared" si="2"/>
        <v>198750</v>
      </c>
    </row>
    <row r="13" spans="1:14" s="11" customFormat="1" ht="21" customHeight="1" x14ac:dyDescent="0.25">
      <c r="A13" s="8"/>
      <c r="B13" s="8"/>
      <c r="C13" s="6" t="s">
        <v>99</v>
      </c>
      <c r="D13" s="9" t="s">
        <v>1</v>
      </c>
      <c r="E13" s="8"/>
      <c r="F13" s="10">
        <v>5810</v>
      </c>
      <c r="G13" s="10">
        <f t="shared" si="1"/>
        <v>471810</v>
      </c>
      <c r="H13" s="8"/>
      <c r="I13" s="8">
        <v>847</v>
      </c>
      <c r="J13" s="6" t="s">
        <v>33</v>
      </c>
      <c r="K13" s="9" t="s">
        <v>0</v>
      </c>
      <c r="L13" s="8">
        <v>16</v>
      </c>
      <c r="M13" s="10">
        <v>11940</v>
      </c>
      <c r="N13" s="10">
        <f t="shared" si="2"/>
        <v>211640</v>
      </c>
    </row>
    <row r="14" spans="1:14" s="11" customFormat="1" ht="21" customHeight="1" x14ac:dyDescent="0.25">
      <c r="A14" s="8"/>
      <c r="B14" s="8"/>
      <c r="C14" s="6" t="s">
        <v>45</v>
      </c>
      <c r="D14" s="9" t="s">
        <v>1</v>
      </c>
      <c r="E14" s="8"/>
      <c r="F14" s="10">
        <v>7120</v>
      </c>
      <c r="G14" s="10">
        <f t="shared" si="1"/>
        <v>477620</v>
      </c>
      <c r="H14" s="8"/>
      <c r="I14" s="8">
        <v>848</v>
      </c>
      <c r="J14" s="6" t="s">
        <v>34</v>
      </c>
      <c r="K14" s="9" t="s">
        <v>0</v>
      </c>
      <c r="L14" s="8">
        <v>19</v>
      </c>
      <c r="M14" s="10">
        <v>25790</v>
      </c>
      <c r="N14" s="10">
        <f t="shared" si="2"/>
        <v>223580</v>
      </c>
    </row>
    <row r="15" spans="1:14" s="11" customFormat="1" ht="21" customHeight="1" x14ac:dyDescent="0.25">
      <c r="A15" s="10"/>
      <c r="B15" s="10"/>
      <c r="C15" s="6" t="s">
        <v>163</v>
      </c>
      <c r="D15" s="9" t="s">
        <v>1</v>
      </c>
      <c r="E15" s="8"/>
      <c r="F15" s="10">
        <v>1280</v>
      </c>
      <c r="G15" s="10">
        <f t="shared" si="1"/>
        <v>484740</v>
      </c>
      <c r="H15" s="10"/>
      <c r="I15" s="8">
        <v>849</v>
      </c>
      <c r="J15" s="6" t="s">
        <v>86</v>
      </c>
      <c r="K15" s="9" t="s">
        <v>0</v>
      </c>
      <c r="L15" s="8">
        <v>22</v>
      </c>
      <c r="M15" s="10">
        <v>3370</v>
      </c>
      <c r="N15" s="10">
        <f t="shared" si="2"/>
        <v>249370</v>
      </c>
    </row>
    <row r="16" spans="1:14" s="11" customFormat="1" ht="21" customHeight="1" x14ac:dyDescent="0.25">
      <c r="A16" s="10"/>
      <c r="B16" s="10"/>
      <c r="C16" s="6" t="s">
        <v>164</v>
      </c>
      <c r="D16" s="9" t="s">
        <v>1</v>
      </c>
      <c r="E16" s="8"/>
      <c r="F16" s="10">
        <v>1100</v>
      </c>
      <c r="G16" s="10">
        <f t="shared" si="1"/>
        <v>486020</v>
      </c>
      <c r="H16" s="10"/>
      <c r="I16" s="8">
        <v>850</v>
      </c>
      <c r="J16" s="6" t="s">
        <v>88</v>
      </c>
      <c r="K16" s="9" t="s">
        <v>0</v>
      </c>
      <c r="L16" s="8">
        <v>10</v>
      </c>
      <c r="M16" s="10">
        <v>5000</v>
      </c>
      <c r="N16" s="10">
        <f t="shared" si="2"/>
        <v>252740</v>
      </c>
    </row>
    <row r="17" spans="1:14" s="11" customFormat="1" ht="21" customHeight="1" x14ac:dyDescent="0.25">
      <c r="A17" s="10"/>
      <c r="B17" s="10"/>
      <c r="C17" s="6" t="s">
        <v>75</v>
      </c>
      <c r="D17" s="9" t="s">
        <v>1</v>
      </c>
      <c r="E17" s="8"/>
      <c r="F17" s="10">
        <v>2470</v>
      </c>
      <c r="G17" s="10">
        <f t="shared" si="1"/>
        <v>487120</v>
      </c>
      <c r="H17" s="10"/>
      <c r="I17" s="8">
        <v>851</v>
      </c>
      <c r="J17" s="6" t="s">
        <v>67</v>
      </c>
      <c r="K17" s="9" t="s">
        <v>0</v>
      </c>
      <c r="L17" s="8">
        <v>1</v>
      </c>
      <c r="M17" s="10">
        <v>3500</v>
      </c>
      <c r="N17" s="10">
        <f t="shared" si="2"/>
        <v>257740</v>
      </c>
    </row>
    <row r="18" spans="1:14" s="11" customFormat="1" ht="21" customHeight="1" x14ac:dyDescent="0.25">
      <c r="A18" s="10"/>
      <c r="B18" s="10"/>
      <c r="C18" s="6" t="s">
        <v>52</v>
      </c>
      <c r="D18" s="9" t="s">
        <v>1</v>
      </c>
      <c r="E18" s="8"/>
      <c r="F18" s="10">
        <v>1300</v>
      </c>
      <c r="G18" s="10">
        <f t="shared" si="1"/>
        <v>489590</v>
      </c>
      <c r="H18" s="10"/>
      <c r="I18" s="8">
        <v>852</v>
      </c>
      <c r="J18" s="6" t="s">
        <v>96</v>
      </c>
      <c r="K18" s="9" t="s">
        <v>0</v>
      </c>
      <c r="L18" s="8">
        <v>15</v>
      </c>
      <c r="M18" s="10">
        <v>7820</v>
      </c>
      <c r="N18" s="10">
        <f t="shared" si="2"/>
        <v>261240</v>
      </c>
    </row>
    <row r="19" spans="1:14" s="11" customFormat="1" ht="21" customHeight="1" x14ac:dyDescent="0.25">
      <c r="A19" s="10"/>
      <c r="B19" s="10"/>
      <c r="C19" s="10"/>
      <c r="D19" s="22" t="s">
        <v>1</v>
      </c>
      <c r="E19" s="8"/>
      <c r="F19" s="10"/>
      <c r="G19" s="10">
        <f t="shared" si="1"/>
        <v>490890</v>
      </c>
      <c r="H19" s="10"/>
      <c r="I19" s="8">
        <v>853</v>
      </c>
      <c r="J19" s="6" t="s">
        <v>76</v>
      </c>
      <c r="K19" s="9" t="s">
        <v>0</v>
      </c>
      <c r="L19" s="8">
        <v>13</v>
      </c>
      <c r="M19" s="10">
        <v>2270</v>
      </c>
      <c r="N19" s="10">
        <f t="shared" si="2"/>
        <v>269060</v>
      </c>
    </row>
    <row r="20" spans="1:14" s="11" customFormat="1" ht="21" customHeight="1" x14ac:dyDescent="0.25">
      <c r="A20" s="10"/>
      <c r="B20" s="10"/>
      <c r="C20" s="10"/>
      <c r="D20" s="22" t="s">
        <v>1</v>
      </c>
      <c r="E20" s="8"/>
      <c r="F20" s="10"/>
      <c r="G20" s="23">
        <f t="shared" si="1"/>
        <v>490890</v>
      </c>
      <c r="H20" s="10"/>
      <c r="I20" s="8">
        <v>854</v>
      </c>
      <c r="J20" s="6" t="s">
        <v>73</v>
      </c>
      <c r="K20" s="9" t="s">
        <v>0</v>
      </c>
      <c r="L20" s="8">
        <v>21</v>
      </c>
      <c r="M20" s="10">
        <v>4640</v>
      </c>
      <c r="N20" s="10">
        <f t="shared" si="2"/>
        <v>271330</v>
      </c>
    </row>
    <row r="21" spans="1:14" s="11" customFormat="1" ht="21" customHeight="1" x14ac:dyDescent="0.25">
      <c r="A21" s="10"/>
      <c r="B21" s="10"/>
      <c r="C21" s="10"/>
      <c r="D21" s="22" t="s">
        <v>1</v>
      </c>
      <c r="E21" s="8"/>
      <c r="F21" s="10"/>
      <c r="G21" s="23">
        <f t="shared" si="1"/>
        <v>490890</v>
      </c>
      <c r="H21" s="10"/>
      <c r="I21" s="8">
        <v>855</v>
      </c>
      <c r="J21" s="6" t="s">
        <v>70</v>
      </c>
      <c r="K21" s="9" t="s">
        <v>0</v>
      </c>
      <c r="L21" s="8">
        <v>17</v>
      </c>
      <c r="M21" s="10">
        <v>1570</v>
      </c>
      <c r="N21" s="10">
        <f t="shared" si="2"/>
        <v>275970</v>
      </c>
    </row>
    <row r="22" spans="1:14" s="11" customFormat="1" ht="21" customHeight="1" x14ac:dyDescent="0.25">
      <c r="A22" s="10"/>
      <c r="B22" s="10"/>
      <c r="C22" s="10"/>
      <c r="D22" s="22" t="s">
        <v>1</v>
      </c>
      <c r="E22" s="8"/>
      <c r="F22" s="10"/>
      <c r="G22" s="23">
        <f t="shared" si="1"/>
        <v>490890</v>
      </c>
      <c r="H22" s="10"/>
      <c r="I22" s="8">
        <v>856</v>
      </c>
      <c r="J22" s="6" t="s">
        <v>143</v>
      </c>
      <c r="K22" s="9" t="s">
        <v>0</v>
      </c>
      <c r="L22" s="8">
        <v>20</v>
      </c>
      <c r="M22" s="10">
        <v>10860</v>
      </c>
      <c r="N22" s="10">
        <f t="shared" si="2"/>
        <v>277540</v>
      </c>
    </row>
    <row r="23" spans="1:14" s="11" customFormat="1" ht="21" customHeight="1" x14ac:dyDescent="0.25">
      <c r="A23" s="10"/>
      <c r="B23" s="10"/>
      <c r="C23" s="32" t="s">
        <v>179</v>
      </c>
      <c r="D23" s="22" t="s">
        <v>1</v>
      </c>
      <c r="E23" s="8"/>
      <c r="F23" s="10"/>
      <c r="G23" s="23">
        <f t="shared" si="1"/>
        <v>490890</v>
      </c>
      <c r="H23" s="10"/>
      <c r="I23" s="8">
        <v>857</v>
      </c>
      <c r="J23" s="6" t="s">
        <v>52</v>
      </c>
      <c r="K23" s="9" t="s">
        <v>0</v>
      </c>
      <c r="L23" s="8">
        <v>18</v>
      </c>
      <c r="M23" s="10">
        <v>1300</v>
      </c>
      <c r="N23" s="10">
        <f t="shared" si="2"/>
        <v>288400</v>
      </c>
    </row>
    <row r="24" spans="1:14" s="11" customFormat="1" ht="21" customHeight="1" x14ac:dyDescent="0.25">
      <c r="A24" s="10"/>
      <c r="B24" s="10"/>
      <c r="C24" s="32" t="s">
        <v>180</v>
      </c>
      <c r="D24" s="22" t="s">
        <v>1</v>
      </c>
      <c r="E24" s="8"/>
      <c r="F24" s="10"/>
      <c r="G24" s="23">
        <f t="shared" si="1"/>
        <v>490890</v>
      </c>
      <c r="H24" s="10"/>
      <c r="I24" s="10"/>
      <c r="J24" s="10"/>
      <c r="K24" s="22" t="s">
        <v>0</v>
      </c>
      <c r="L24" s="8"/>
      <c r="M24" s="10"/>
      <c r="N24" s="10">
        <f t="shared" si="2"/>
        <v>289700</v>
      </c>
    </row>
    <row r="25" spans="1:14" s="11" customFormat="1" ht="21" customHeight="1" x14ac:dyDescent="0.25">
      <c r="A25" s="10"/>
      <c r="B25" s="10"/>
      <c r="C25" s="32" t="s">
        <v>181</v>
      </c>
      <c r="D25" s="22" t="s">
        <v>1</v>
      </c>
      <c r="E25" s="8"/>
      <c r="F25" s="10"/>
      <c r="G25" s="23">
        <f t="shared" si="1"/>
        <v>490890</v>
      </c>
      <c r="H25" s="10"/>
      <c r="I25" s="10"/>
      <c r="J25" s="32" t="s">
        <v>183</v>
      </c>
      <c r="K25" s="22" t="s">
        <v>0</v>
      </c>
      <c r="L25" s="8"/>
      <c r="M25" s="10"/>
      <c r="N25" s="23">
        <f t="shared" si="2"/>
        <v>289700</v>
      </c>
    </row>
    <row r="26" spans="1:14" s="11" customFormat="1" ht="21" customHeight="1" x14ac:dyDescent="0.25">
      <c r="A26" s="10"/>
      <c r="B26" s="10"/>
      <c r="C26" s="40" t="s">
        <v>182</v>
      </c>
      <c r="D26" s="22" t="s">
        <v>1</v>
      </c>
      <c r="E26" s="8"/>
      <c r="F26" s="10"/>
      <c r="G26" s="23">
        <f t="shared" si="1"/>
        <v>490890</v>
      </c>
      <c r="H26" s="10"/>
      <c r="I26" s="10"/>
      <c r="J26" s="46" t="s">
        <v>184</v>
      </c>
      <c r="K26" s="22" t="s">
        <v>0</v>
      </c>
      <c r="L26" s="8"/>
      <c r="M26" s="10"/>
      <c r="N26" s="23">
        <f t="shared" si="2"/>
        <v>289700</v>
      </c>
    </row>
    <row r="27" spans="1:14" s="11" customFormat="1" ht="21" customHeight="1" x14ac:dyDescent="0.25">
      <c r="A27" s="10"/>
      <c r="B27" s="10"/>
      <c r="C27" s="10"/>
      <c r="D27" s="22" t="s">
        <v>1</v>
      </c>
      <c r="E27" s="8"/>
      <c r="F27" s="10"/>
      <c r="G27" s="23">
        <f t="shared" si="1"/>
        <v>490890</v>
      </c>
      <c r="H27" s="10"/>
      <c r="I27" s="10"/>
      <c r="J27" s="47" t="s">
        <v>185</v>
      </c>
      <c r="K27" s="22" t="s">
        <v>0</v>
      </c>
      <c r="L27" s="8"/>
      <c r="M27" s="10"/>
      <c r="N27" s="23">
        <f t="shared" si="2"/>
        <v>289700</v>
      </c>
    </row>
    <row r="28" spans="1:14" s="11" customFormat="1" ht="21" customHeight="1" x14ac:dyDescent="0.25">
      <c r="A28" s="10"/>
      <c r="B28" s="10"/>
      <c r="C28" s="10"/>
      <c r="D28" s="22" t="s">
        <v>1</v>
      </c>
      <c r="E28" s="8"/>
      <c r="F28" s="10"/>
      <c r="G28" s="23">
        <f t="shared" si="1"/>
        <v>490890</v>
      </c>
      <c r="H28" s="10"/>
      <c r="I28" s="10"/>
      <c r="J28" s="8" t="s">
        <v>186</v>
      </c>
      <c r="K28" s="22" t="s">
        <v>0</v>
      </c>
      <c r="L28" s="8"/>
      <c r="M28" s="10"/>
      <c r="N28" s="23">
        <f t="shared" si="2"/>
        <v>289700</v>
      </c>
    </row>
    <row r="29" spans="1:14" s="11" customFormat="1" ht="21" customHeight="1" x14ac:dyDescent="0.25">
      <c r="A29" s="10"/>
      <c r="B29" s="10"/>
      <c r="C29" s="10"/>
      <c r="D29" s="22" t="s">
        <v>1</v>
      </c>
      <c r="E29" s="8"/>
      <c r="F29" s="10"/>
      <c r="G29" s="23">
        <f t="shared" si="1"/>
        <v>490890</v>
      </c>
      <c r="H29" s="10"/>
      <c r="I29" s="10"/>
      <c r="J29" s="10"/>
      <c r="K29" s="22" t="s">
        <v>0</v>
      </c>
      <c r="L29" s="8"/>
      <c r="M29" s="10"/>
      <c r="N29" s="23">
        <f t="shared" si="2"/>
        <v>289700</v>
      </c>
    </row>
    <row r="30" spans="1:14" s="11" customFormat="1" ht="21" customHeight="1" x14ac:dyDescent="0.25">
      <c r="A30" s="10"/>
      <c r="B30" s="10"/>
      <c r="C30" s="10"/>
      <c r="D30" s="22" t="s">
        <v>1</v>
      </c>
      <c r="E30" s="8"/>
      <c r="F30" s="10"/>
      <c r="G30" s="23">
        <f t="shared" si="1"/>
        <v>490890</v>
      </c>
      <c r="H30" s="10"/>
      <c r="I30" s="10"/>
      <c r="J30" s="10"/>
      <c r="K30" s="22" t="s">
        <v>0</v>
      </c>
      <c r="L30" s="8"/>
      <c r="M30" s="10"/>
      <c r="N30" s="23">
        <f t="shared" si="2"/>
        <v>289700</v>
      </c>
    </row>
    <row r="31" spans="1:14" s="11" customFormat="1" ht="21" customHeight="1" x14ac:dyDescent="0.25">
      <c r="A31" s="10"/>
      <c r="B31" s="10"/>
      <c r="C31" s="10"/>
      <c r="D31" s="22" t="s">
        <v>1</v>
      </c>
      <c r="E31" s="8"/>
      <c r="F31" s="10"/>
      <c r="G31" s="23">
        <f t="shared" si="1"/>
        <v>490890</v>
      </c>
      <c r="H31" s="10"/>
      <c r="I31" s="10"/>
      <c r="J31" s="10"/>
      <c r="K31" s="22" t="s">
        <v>0</v>
      </c>
      <c r="L31" s="8"/>
      <c r="M31" s="10"/>
      <c r="N31" s="23">
        <f t="shared" si="2"/>
        <v>289700</v>
      </c>
    </row>
    <row r="32" spans="1:14" s="11" customFormat="1" ht="21" customHeight="1" x14ac:dyDescent="0.25">
      <c r="A32" s="10"/>
      <c r="B32" s="10"/>
      <c r="C32" s="10"/>
      <c r="D32" s="22" t="s">
        <v>1</v>
      </c>
      <c r="E32" s="8"/>
      <c r="F32" s="10"/>
      <c r="G32" s="23">
        <f t="shared" si="1"/>
        <v>490890</v>
      </c>
      <c r="H32" s="10"/>
      <c r="I32" s="10"/>
      <c r="J32" s="10"/>
      <c r="K32" s="22" t="s">
        <v>0</v>
      </c>
      <c r="L32" s="8"/>
      <c r="M32" s="10"/>
      <c r="N32" s="23">
        <f t="shared" si="2"/>
        <v>289700</v>
      </c>
    </row>
    <row r="33" spans="1:14" s="11" customFormat="1" ht="21" customHeight="1" x14ac:dyDescent="0.25">
      <c r="A33" s="10"/>
      <c r="B33" s="10"/>
      <c r="C33" s="10"/>
      <c r="D33" s="22" t="s">
        <v>1</v>
      </c>
      <c r="E33" s="8"/>
      <c r="F33" s="10"/>
      <c r="G33" s="23">
        <f t="shared" si="1"/>
        <v>490890</v>
      </c>
      <c r="H33" s="10"/>
      <c r="I33" s="10"/>
      <c r="J33" s="10"/>
      <c r="K33" s="22" t="s">
        <v>0</v>
      </c>
      <c r="L33" s="8"/>
      <c r="M33" s="10"/>
      <c r="N33" s="23">
        <f t="shared" si="2"/>
        <v>289700</v>
      </c>
    </row>
    <row r="34" spans="1:14" s="11" customFormat="1" ht="21" customHeight="1" x14ac:dyDescent="0.25">
      <c r="A34" s="10"/>
      <c r="B34" s="10"/>
      <c r="C34" s="10"/>
      <c r="D34" s="22" t="s">
        <v>1</v>
      </c>
      <c r="E34" s="10"/>
      <c r="F34" s="10"/>
      <c r="G34" s="23">
        <f>G33+F33</f>
        <v>490890</v>
      </c>
      <c r="H34" s="10"/>
      <c r="I34" s="10"/>
      <c r="J34" s="10"/>
      <c r="K34" s="22" t="s">
        <v>0</v>
      </c>
      <c r="L34" s="10"/>
      <c r="M34" s="10"/>
      <c r="N34" s="23">
        <f t="shared" si="2"/>
        <v>289700</v>
      </c>
    </row>
    <row r="35" spans="1:14" ht="31.5" customHeight="1" x14ac:dyDescent="0.25">
      <c r="A35" s="60" t="s">
        <v>9</v>
      </c>
      <c r="B35" s="60"/>
      <c r="C35" s="61"/>
      <c r="D35" s="66">
        <f>G34+F34</f>
        <v>490890</v>
      </c>
      <c r="E35" s="66"/>
      <c r="F35" s="66"/>
      <c r="G35" s="66"/>
      <c r="H35" s="54" t="s">
        <v>10</v>
      </c>
      <c r="I35" s="54"/>
      <c r="J35" s="55"/>
      <c r="K35" s="66">
        <f>N34+M34</f>
        <v>289700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289700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201190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N52"/>
  <sheetViews>
    <sheetView view="pageBreakPreview" topLeftCell="A13" zoomScale="115" zoomScaleNormal="145" zoomScaleSheetLayoutView="115" zoomScalePageLayoutView="85" workbookViewId="0">
      <selection activeCell="C28" sqref="C28:C37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28.5" customHeight="1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 t="s">
        <v>13</v>
      </c>
      <c r="D3" s="70" t="s">
        <v>4</v>
      </c>
      <c r="E3" s="70"/>
      <c r="F3" s="17" t="s">
        <v>3</v>
      </c>
      <c r="G3" s="3">
        <v>45604</v>
      </c>
      <c r="H3" s="69" t="s">
        <v>8</v>
      </c>
      <c r="I3" s="69"/>
      <c r="J3" s="18" t="s">
        <v>13</v>
      </c>
      <c r="K3" s="56" t="s">
        <v>5</v>
      </c>
      <c r="L3" s="56"/>
      <c r="M3" s="17" t="s">
        <v>3</v>
      </c>
      <c r="N3" s="3">
        <v>45604</v>
      </c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(7)'!D37</f>
        <v>201190</v>
      </c>
      <c r="G4" s="8" t="s">
        <v>2</v>
      </c>
      <c r="H4" s="10"/>
      <c r="I4" s="10"/>
      <c r="J4" s="6" t="s">
        <v>18</v>
      </c>
      <c r="K4" s="9" t="s">
        <v>0</v>
      </c>
      <c r="L4" s="10"/>
      <c r="M4" s="10">
        <v>180</v>
      </c>
      <c r="N4" s="8" t="s">
        <v>2</v>
      </c>
    </row>
    <row r="5" spans="1:14" s="36" customFormat="1" ht="15.75" customHeight="1" x14ac:dyDescent="0.25">
      <c r="A5" s="32"/>
      <c r="B5" s="32"/>
      <c r="C5" s="33" t="s">
        <v>14</v>
      </c>
      <c r="D5" s="34" t="s">
        <v>1</v>
      </c>
      <c r="E5" s="32"/>
      <c r="F5" s="35">
        <v>10200</v>
      </c>
      <c r="G5" s="35">
        <f>F4</f>
        <v>201190</v>
      </c>
      <c r="H5" s="32"/>
      <c r="I5" s="32"/>
      <c r="J5" s="33" t="s">
        <v>19</v>
      </c>
      <c r="K5" s="34" t="s">
        <v>0</v>
      </c>
      <c r="L5" s="32"/>
      <c r="M5" s="35">
        <v>640</v>
      </c>
      <c r="N5" s="35">
        <f>M4</f>
        <v>180</v>
      </c>
    </row>
    <row r="6" spans="1:14" s="36" customFormat="1" ht="15.75" customHeight="1" x14ac:dyDescent="0.25">
      <c r="A6" s="32"/>
      <c r="B6" s="32"/>
      <c r="C6" s="33" t="s">
        <v>15</v>
      </c>
      <c r="D6" s="34" t="s">
        <v>1</v>
      </c>
      <c r="E6" s="32"/>
      <c r="F6" s="35">
        <v>110</v>
      </c>
      <c r="G6" s="35">
        <f>G5+F5</f>
        <v>211390</v>
      </c>
      <c r="H6" s="32"/>
      <c r="I6" s="32"/>
      <c r="J6" s="33" t="s">
        <v>17</v>
      </c>
      <c r="K6" s="34" t="s">
        <v>0</v>
      </c>
      <c r="L6" s="32"/>
      <c r="M6" s="35">
        <v>940</v>
      </c>
      <c r="N6" s="35">
        <f t="shared" ref="N6" si="0">N5+M5</f>
        <v>820</v>
      </c>
    </row>
    <row r="7" spans="1:14" s="36" customFormat="1" ht="15.75" customHeight="1" x14ac:dyDescent="0.25">
      <c r="A7" s="32"/>
      <c r="B7" s="32"/>
      <c r="C7" s="33" t="s">
        <v>16</v>
      </c>
      <c r="D7" s="34" t="s">
        <v>1</v>
      </c>
      <c r="E7" s="32"/>
      <c r="F7" s="35">
        <v>90</v>
      </c>
      <c r="G7" s="35">
        <f t="shared" ref="G7:G39" si="1">G6+F6</f>
        <v>211500</v>
      </c>
      <c r="H7" s="32"/>
      <c r="I7" s="32"/>
      <c r="J7" s="33" t="s">
        <v>187</v>
      </c>
      <c r="K7" s="34" t="s">
        <v>0</v>
      </c>
      <c r="L7" s="32"/>
      <c r="M7" s="35">
        <v>200</v>
      </c>
      <c r="N7" s="35">
        <f>N6+M6</f>
        <v>1760</v>
      </c>
    </row>
    <row r="8" spans="1:14" s="36" customFormat="1" ht="15.75" customHeight="1" x14ac:dyDescent="0.25">
      <c r="A8" s="32"/>
      <c r="B8" s="32"/>
      <c r="C8" s="33" t="s">
        <v>29</v>
      </c>
      <c r="D8" s="34" t="s">
        <v>1</v>
      </c>
      <c r="E8" s="32"/>
      <c r="F8" s="35">
        <v>8300</v>
      </c>
      <c r="G8" s="35">
        <f t="shared" si="1"/>
        <v>211590</v>
      </c>
      <c r="H8" s="32"/>
      <c r="I8" s="32"/>
      <c r="J8" s="33" t="s">
        <v>189</v>
      </c>
      <c r="K8" s="34" t="s">
        <v>0</v>
      </c>
      <c r="L8" s="32"/>
      <c r="M8" s="35">
        <v>2450</v>
      </c>
      <c r="N8" s="35">
        <f t="shared" ref="N8:N40" si="2">N7+M7</f>
        <v>1960</v>
      </c>
    </row>
    <row r="9" spans="1:14" s="36" customFormat="1" ht="15.75" customHeight="1" x14ac:dyDescent="0.25">
      <c r="A9" s="32"/>
      <c r="B9" s="32"/>
      <c r="C9" s="33" t="s">
        <v>30</v>
      </c>
      <c r="D9" s="34" t="s">
        <v>1</v>
      </c>
      <c r="E9" s="32"/>
      <c r="F9" s="35">
        <v>20000</v>
      </c>
      <c r="G9" s="35">
        <f t="shared" si="1"/>
        <v>219890</v>
      </c>
      <c r="H9" s="32"/>
      <c r="I9" s="32"/>
      <c r="J9" s="33" t="s">
        <v>190</v>
      </c>
      <c r="K9" s="34" t="s">
        <v>0</v>
      </c>
      <c r="L9" s="32"/>
      <c r="M9" s="35">
        <v>2430</v>
      </c>
      <c r="N9" s="35">
        <f t="shared" si="2"/>
        <v>4410</v>
      </c>
    </row>
    <row r="10" spans="1:14" s="36" customFormat="1" ht="15.75" customHeight="1" x14ac:dyDescent="0.25">
      <c r="A10" s="32"/>
      <c r="B10" s="32"/>
      <c r="C10" s="33" t="s">
        <v>31</v>
      </c>
      <c r="D10" s="34" t="s">
        <v>1</v>
      </c>
      <c r="E10" s="32"/>
      <c r="F10" s="35">
        <v>104240</v>
      </c>
      <c r="G10" s="35">
        <f t="shared" si="1"/>
        <v>239890</v>
      </c>
      <c r="H10" s="32"/>
      <c r="I10" s="32"/>
      <c r="J10" s="33" t="s">
        <v>188</v>
      </c>
      <c r="K10" s="34" t="s">
        <v>0</v>
      </c>
      <c r="L10" s="32"/>
      <c r="M10" s="35">
        <v>5000</v>
      </c>
      <c r="N10" s="35">
        <f t="shared" si="2"/>
        <v>6840</v>
      </c>
    </row>
    <row r="11" spans="1:14" s="36" customFormat="1" ht="15.75" customHeight="1" x14ac:dyDescent="0.25">
      <c r="A11" s="32"/>
      <c r="B11" s="32"/>
      <c r="C11" s="33" t="s">
        <v>33</v>
      </c>
      <c r="D11" s="34" t="s">
        <v>1</v>
      </c>
      <c r="E11" s="32"/>
      <c r="F11" s="35">
        <v>40000</v>
      </c>
      <c r="G11" s="35">
        <f t="shared" si="1"/>
        <v>344130</v>
      </c>
      <c r="H11" s="32"/>
      <c r="I11" s="32">
        <v>858</v>
      </c>
      <c r="J11" s="33" t="s">
        <v>125</v>
      </c>
      <c r="K11" s="34" t="s">
        <v>0</v>
      </c>
      <c r="L11" s="32">
        <v>89</v>
      </c>
      <c r="M11" s="35">
        <v>50540</v>
      </c>
      <c r="N11" s="35">
        <f t="shared" si="2"/>
        <v>11840</v>
      </c>
    </row>
    <row r="12" spans="1:14" s="36" customFormat="1" ht="15.75" customHeight="1" x14ac:dyDescent="0.25">
      <c r="A12" s="32"/>
      <c r="B12" s="32"/>
      <c r="C12" s="33" t="s">
        <v>201</v>
      </c>
      <c r="D12" s="34" t="s">
        <v>1</v>
      </c>
      <c r="E12" s="32"/>
      <c r="F12" s="35">
        <v>30000</v>
      </c>
      <c r="G12" s="35">
        <f t="shared" si="1"/>
        <v>384130</v>
      </c>
      <c r="H12" s="32"/>
      <c r="I12" s="32">
        <v>859</v>
      </c>
      <c r="J12" s="33" t="s">
        <v>30</v>
      </c>
      <c r="K12" s="34" t="s">
        <v>0</v>
      </c>
      <c r="L12" s="32">
        <v>99</v>
      </c>
      <c r="M12" s="35">
        <v>2810</v>
      </c>
      <c r="N12" s="35">
        <f t="shared" si="2"/>
        <v>62380</v>
      </c>
    </row>
    <row r="13" spans="1:14" s="36" customFormat="1" ht="15.75" customHeight="1" x14ac:dyDescent="0.25">
      <c r="A13" s="32"/>
      <c r="B13" s="32"/>
      <c r="C13" s="33" t="s">
        <v>36</v>
      </c>
      <c r="D13" s="34" t="s">
        <v>1</v>
      </c>
      <c r="E13" s="32"/>
      <c r="F13" s="35">
        <v>10000</v>
      </c>
      <c r="G13" s="35">
        <f t="shared" si="1"/>
        <v>414130</v>
      </c>
      <c r="H13" s="32"/>
      <c r="I13" s="32">
        <v>860</v>
      </c>
      <c r="J13" s="33" t="s">
        <v>94</v>
      </c>
      <c r="K13" s="34" t="s">
        <v>0</v>
      </c>
      <c r="L13" s="32">
        <v>93</v>
      </c>
      <c r="M13" s="35">
        <v>19240</v>
      </c>
      <c r="N13" s="35">
        <f t="shared" si="2"/>
        <v>65190</v>
      </c>
    </row>
    <row r="14" spans="1:14" s="36" customFormat="1" ht="15.75" customHeight="1" x14ac:dyDescent="0.25">
      <c r="A14" s="32"/>
      <c r="B14" s="32"/>
      <c r="C14" s="33" t="s">
        <v>202</v>
      </c>
      <c r="D14" s="34" t="s">
        <v>1</v>
      </c>
      <c r="E14" s="32"/>
      <c r="F14" s="35">
        <v>2590</v>
      </c>
      <c r="G14" s="35">
        <f t="shared" si="1"/>
        <v>424130</v>
      </c>
      <c r="H14" s="32"/>
      <c r="I14" s="32">
        <v>861</v>
      </c>
      <c r="J14" s="33" t="s">
        <v>31</v>
      </c>
      <c r="K14" s="34" t="s">
        <v>0</v>
      </c>
      <c r="L14" s="32">
        <v>97</v>
      </c>
      <c r="M14" s="35">
        <v>20630</v>
      </c>
      <c r="N14" s="35">
        <f t="shared" si="2"/>
        <v>84430</v>
      </c>
    </row>
    <row r="15" spans="1:14" s="36" customFormat="1" ht="15.75" customHeight="1" x14ac:dyDescent="0.25">
      <c r="A15" s="35"/>
      <c r="B15" s="35"/>
      <c r="C15" s="33" t="s">
        <v>114</v>
      </c>
      <c r="D15" s="34" t="s">
        <v>1</v>
      </c>
      <c r="E15" s="32"/>
      <c r="F15" s="35">
        <v>8920</v>
      </c>
      <c r="G15" s="35">
        <f t="shared" si="1"/>
        <v>426720</v>
      </c>
      <c r="H15" s="35"/>
      <c r="I15" s="32">
        <v>862</v>
      </c>
      <c r="J15" s="33" t="s">
        <v>35</v>
      </c>
      <c r="K15" s="34" t="s">
        <v>0</v>
      </c>
      <c r="L15" s="32">
        <v>24</v>
      </c>
      <c r="M15" s="35">
        <v>16400</v>
      </c>
      <c r="N15" s="35">
        <f t="shared" si="2"/>
        <v>105060</v>
      </c>
    </row>
    <row r="16" spans="1:14" s="36" customFormat="1" ht="15.75" customHeight="1" x14ac:dyDescent="0.25">
      <c r="A16" s="35"/>
      <c r="B16" s="35"/>
      <c r="C16" s="33" t="s">
        <v>203</v>
      </c>
      <c r="D16" s="34" t="s">
        <v>1</v>
      </c>
      <c r="E16" s="32"/>
      <c r="F16" s="35">
        <v>7760</v>
      </c>
      <c r="G16" s="35">
        <f t="shared" si="1"/>
        <v>435640</v>
      </c>
      <c r="H16" s="35"/>
      <c r="I16" s="32">
        <v>863</v>
      </c>
      <c r="J16" s="33" t="s">
        <v>46</v>
      </c>
      <c r="K16" s="34" t="s">
        <v>0</v>
      </c>
      <c r="L16" s="32">
        <v>88</v>
      </c>
      <c r="M16" s="35">
        <v>3790</v>
      </c>
      <c r="N16" s="35">
        <f t="shared" si="2"/>
        <v>121460</v>
      </c>
    </row>
    <row r="17" spans="1:14" s="36" customFormat="1" ht="15.75" customHeight="1" x14ac:dyDescent="0.25">
      <c r="A17" s="35"/>
      <c r="B17" s="35"/>
      <c r="C17" s="33" t="s">
        <v>89</v>
      </c>
      <c r="D17" s="34" t="s">
        <v>1</v>
      </c>
      <c r="E17" s="32"/>
      <c r="F17" s="35">
        <v>5530</v>
      </c>
      <c r="G17" s="35">
        <f t="shared" si="1"/>
        <v>443400</v>
      </c>
      <c r="H17" s="35"/>
      <c r="I17" s="32">
        <v>864</v>
      </c>
      <c r="J17" s="33" t="s">
        <v>58</v>
      </c>
      <c r="K17" s="34" t="s">
        <v>0</v>
      </c>
      <c r="L17" s="32">
        <v>92</v>
      </c>
      <c r="M17" s="35">
        <v>1290</v>
      </c>
      <c r="N17" s="35">
        <f t="shared" si="2"/>
        <v>125250</v>
      </c>
    </row>
    <row r="18" spans="1:14" s="36" customFormat="1" ht="15.75" customHeight="1" x14ac:dyDescent="0.25">
      <c r="A18" s="35"/>
      <c r="B18" s="35"/>
      <c r="C18" s="33" t="s">
        <v>73</v>
      </c>
      <c r="D18" s="34" t="s">
        <v>1</v>
      </c>
      <c r="E18" s="32"/>
      <c r="F18" s="35">
        <v>4640</v>
      </c>
      <c r="G18" s="35">
        <f t="shared" si="1"/>
        <v>448930</v>
      </c>
      <c r="H18" s="35"/>
      <c r="I18" s="32">
        <v>865</v>
      </c>
      <c r="J18" s="33" t="s">
        <v>59</v>
      </c>
      <c r="K18" s="34" t="s">
        <v>0</v>
      </c>
      <c r="L18" s="32">
        <v>94</v>
      </c>
      <c r="M18" s="35">
        <v>6690</v>
      </c>
      <c r="N18" s="35">
        <f t="shared" si="2"/>
        <v>126540</v>
      </c>
    </row>
    <row r="19" spans="1:14" s="36" customFormat="1" ht="15.75" customHeight="1" x14ac:dyDescent="0.25">
      <c r="A19" s="35"/>
      <c r="B19" s="35"/>
      <c r="C19" s="33" t="s">
        <v>96</v>
      </c>
      <c r="D19" s="34" t="s">
        <v>1</v>
      </c>
      <c r="E19" s="32"/>
      <c r="F19" s="35">
        <v>7820</v>
      </c>
      <c r="G19" s="35">
        <f t="shared" si="1"/>
        <v>453570</v>
      </c>
      <c r="H19" s="35"/>
      <c r="I19" s="32">
        <v>866</v>
      </c>
      <c r="J19" s="33" t="s">
        <v>33</v>
      </c>
      <c r="K19" s="34" t="s">
        <v>0</v>
      </c>
      <c r="L19" s="32">
        <v>7</v>
      </c>
      <c r="M19" s="35">
        <v>6840</v>
      </c>
      <c r="N19" s="35">
        <f t="shared" si="2"/>
        <v>133230</v>
      </c>
    </row>
    <row r="20" spans="1:14" s="36" customFormat="1" ht="15.75" customHeight="1" x14ac:dyDescent="0.25">
      <c r="A20" s="35"/>
      <c r="B20" s="35"/>
      <c r="C20" s="33" t="s">
        <v>67</v>
      </c>
      <c r="D20" s="34" t="s">
        <v>1</v>
      </c>
      <c r="E20" s="32"/>
      <c r="F20" s="35">
        <v>3500</v>
      </c>
      <c r="G20" s="35">
        <f t="shared" si="1"/>
        <v>461390</v>
      </c>
      <c r="H20" s="35"/>
      <c r="I20" s="32">
        <v>867</v>
      </c>
      <c r="J20" s="33" t="s">
        <v>199</v>
      </c>
      <c r="K20" s="34" t="s">
        <v>0</v>
      </c>
      <c r="L20" s="32">
        <v>100</v>
      </c>
      <c r="M20" s="35">
        <v>17860</v>
      </c>
      <c r="N20" s="35">
        <f t="shared" si="2"/>
        <v>140070</v>
      </c>
    </row>
    <row r="21" spans="1:14" s="36" customFormat="1" ht="15.75" customHeight="1" x14ac:dyDescent="0.25">
      <c r="A21" s="35"/>
      <c r="B21" s="35"/>
      <c r="C21" s="33" t="s">
        <v>76</v>
      </c>
      <c r="D21" s="34" t="s">
        <v>1</v>
      </c>
      <c r="E21" s="32"/>
      <c r="F21" s="35">
        <v>2270</v>
      </c>
      <c r="G21" s="35">
        <f t="shared" si="1"/>
        <v>464890</v>
      </c>
      <c r="H21" s="35"/>
      <c r="I21" s="32">
        <v>868</v>
      </c>
      <c r="J21" s="33" t="s">
        <v>165</v>
      </c>
      <c r="K21" s="34" t="s">
        <v>0</v>
      </c>
      <c r="L21" s="32">
        <v>87</v>
      </c>
      <c r="M21" s="35">
        <v>19180</v>
      </c>
      <c r="N21" s="35">
        <f t="shared" si="2"/>
        <v>157930</v>
      </c>
    </row>
    <row r="22" spans="1:14" s="36" customFormat="1" ht="15.75" customHeight="1" x14ac:dyDescent="0.25">
      <c r="A22" s="35"/>
      <c r="B22" s="35"/>
      <c r="C22" s="33" t="s">
        <v>46</v>
      </c>
      <c r="D22" s="34" t="s">
        <v>1</v>
      </c>
      <c r="E22" s="32"/>
      <c r="F22" s="35">
        <v>1660</v>
      </c>
      <c r="G22" s="35">
        <f t="shared" si="1"/>
        <v>467160</v>
      </c>
      <c r="H22" s="35"/>
      <c r="I22" s="32">
        <v>869</v>
      </c>
      <c r="J22" s="33" t="s">
        <v>161</v>
      </c>
      <c r="K22" s="34" t="s">
        <v>0</v>
      </c>
      <c r="L22" s="32">
        <v>9</v>
      </c>
      <c r="M22" s="35">
        <v>9490</v>
      </c>
      <c r="N22" s="35">
        <f t="shared" si="2"/>
        <v>177110</v>
      </c>
    </row>
    <row r="23" spans="1:14" s="36" customFormat="1" ht="15.75" customHeight="1" x14ac:dyDescent="0.25">
      <c r="A23" s="35"/>
      <c r="B23" s="35"/>
      <c r="C23" s="33" t="s">
        <v>143</v>
      </c>
      <c r="D23" s="34" t="s">
        <v>1</v>
      </c>
      <c r="E23" s="32"/>
      <c r="F23" s="35">
        <v>10860</v>
      </c>
      <c r="G23" s="35">
        <f t="shared" si="1"/>
        <v>468820</v>
      </c>
      <c r="H23" s="35"/>
      <c r="I23" s="32">
        <v>870</v>
      </c>
      <c r="J23" s="33" t="s">
        <v>64</v>
      </c>
      <c r="K23" s="34" t="s">
        <v>0</v>
      </c>
      <c r="L23" s="32">
        <v>86</v>
      </c>
      <c r="M23" s="35">
        <v>3810</v>
      </c>
      <c r="N23" s="35">
        <f t="shared" si="2"/>
        <v>186600</v>
      </c>
    </row>
    <row r="24" spans="1:14" s="36" customFormat="1" ht="15.75" customHeight="1" x14ac:dyDescent="0.25">
      <c r="A24" s="35"/>
      <c r="B24" s="35"/>
      <c r="C24" s="33" t="s">
        <v>70</v>
      </c>
      <c r="D24" s="34" t="s">
        <v>1</v>
      </c>
      <c r="E24" s="32"/>
      <c r="F24" s="35">
        <v>1570</v>
      </c>
      <c r="G24" s="35">
        <f t="shared" si="1"/>
        <v>479680</v>
      </c>
      <c r="H24" s="35"/>
      <c r="I24" s="32">
        <v>871</v>
      </c>
      <c r="J24" s="33" t="s">
        <v>88</v>
      </c>
      <c r="K24" s="34" t="s">
        <v>0</v>
      </c>
      <c r="L24" s="32">
        <v>5</v>
      </c>
      <c r="M24" s="35">
        <v>250</v>
      </c>
      <c r="N24" s="35">
        <f t="shared" si="2"/>
        <v>190410</v>
      </c>
    </row>
    <row r="25" spans="1:14" s="36" customFormat="1" ht="15.75" customHeight="1" x14ac:dyDescent="0.25">
      <c r="A25" s="35"/>
      <c r="B25" s="35"/>
      <c r="C25" s="33" t="s">
        <v>199</v>
      </c>
      <c r="D25" s="34" t="s">
        <v>1</v>
      </c>
      <c r="E25" s="32"/>
      <c r="F25" s="35">
        <v>28000</v>
      </c>
      <c r="G25" s="35">
        <f t="shared" si="1"/>
        <v>481250</v>
      </c>
      <c r="H25" s="35"/>
      <c r="I25" s="32">
        <v>872</v>
      </c>
      <c r="J25" s="33" t="s">
        <v>71</v>
      </c>
      <c r="K25" s="34" t="s">
        <v>0</v>
      </c>
      <c r="L25" s="32">
        <v>98</v>
      </c>
      <c r="M25" s="35">
        <v>10630</v>
      </c>
      <c r="N25" s="35">
        <f t="shared" si="2"/>
        <v>190660</v>
      </c>
    </row>
    <row r="26" spans="1:14" s="36" customFormat="1" ht="15.75" customHeight="1" x14ac:dyDescent="0.25">
      <c r="A26" s="35"/>
      <c r="B26" s="35"/>
      <c r="C26" s="33" t="s">
        <v>52</v>
      </c>
      <c r="D26" s="34" t="s">
        <v>1</v>
      </c>
      <c r="E26" s="32"/>
      <c r="F26" s="35">
        <v>7990</v>
      </c>
      <c r="G26" s="35">
        <f t="shared" si="1"/>
        <v>509250</v>
      </c>
      <c r="H26" s="35"/>
      <c r="I26" s="32">
        <v>873</v>
      </c>
      <c r="J26" s="33" t="s">
        <v>66</v>
      </c>
      <c r="K26" s="34" t="s">
        <v>0</v>
      </c>
      <c r="L26" s="32">
        <v>90</v>
      </c>
      <c r="M26" s="35">
        <v>12420</v>
      </c>
      <c r="N26" s="35">
        <f t="shared" si="2"/>
        <v>201290</v>
      </c>
    </row>
    <row r="27" spans="1:14" s="36" customFormat="1" ht="15.75" customHeight="1" x14ac:dyDescent="0.25">
      <c r="A27" s="35"/>
      <c r="B27" s="35"/>
      <c r="C27" s="35"/>
      <c r="D27" s="38" t="s">
        <v>1</v>
      </c>
      <c r="E27" s="32"/>
      <c r="F27" s="35"/>
      <c r="G27" s="35">
        <f t="shared" si="1"/>
        <v>517240</v>
      </c>
      <c r="H27" s="35"/>
      <c r="I27" s="32">
        <v>874</v>
      </c>
      <c r="J27" s="33" t="s">
        <v>96</v>
      </c>
      <c r="K27" s="34" t="s">
        <v>0</v>
      </c>
      <c r="L27" s="32">
        <v>25</v>
      </c>
      <c r="M27" s="35">
        <v>3180</v>
      </c>
      <c r="N27" s="35">
        <f t="shared" si="2"/>
        <v>213710</v>
      </c>
    </row>
    <row r="28" spans="1:14" s="36" customFormat="1" ht="15.75" customHeight="1" x14ac:dyDescent="0.25">
      <c r="A28" s="35"/>
      <c r="B28" s="35"/>
      <c r="C28" s="32" t="s">
        <v>191</v>
      </c>
      <c r="D28" s="38" t="s">
        <v>1</v>
      </c>
      <c r="E28" s="32"/>
      <c r="F28" s="35"/>
      <c r="G28" s="39">
        <f t="shared" si="1"/>
        <v>517240</v>
      </c>
      <c r="H28" s="35"/>
      <c r="I28" s="32">
        <v>875</v>
      </c>
      <c r="J28" s="33" t="s">
        <v>146</v>
      </c>
      <c r="K28" s="34" t="s">
        <v>0</v>
      </c>
      <c r="L28" s="32">
        <v>8</v>
      </c>
      <c r="M28" s="35">
        <v>3600</v>
      </c>
      <c r="N28" s="35">
        <f t="shared" si="2"/>
        <v>216890</v>
      </c>
    </row>
    <row r="29" spans="1:14" s="36" customFormat="1" ht="15.75" customHeight="1" x14ac:dyDescent="0.25">
      <c r="A29" s="35"/>
      <c r="B29" s="35"/>
      <c r="C29" s="32" t="s">
        <v>192</v>
      </c>
      <c r="D29" s="38" t="s">
        <v>1</v>
      </c>
      <c r="E29" s="32"/>
      <c r="F29" s="35"/>
      <c r="G29" s="39">
        <f t="shared" si="1"/>
        <v>517240</v>
      </c>
      <c r="H29" s="35"/>
      <c r="I29" s="32">
        <v>876</v>
      </c>
      <c r="J29" s="33" t="s">
        <v>100</v>
      </c>
      <c r="K29" s="34" t="s">
        <v>0</v>
      </c>
      <c r="L29" s="32">
        <v>12</v>
      </c>
      <c r="M29" s="35">
        <v>4020</v>
      </c>
      <c r="N29" s="35">
        <f t="shared" si="2"/>
        <v>220490</v>
      </c>
    </row>
    <row r="30" spans="1:14" s="36" customFormat="1" ht="15.75" customHeight="1" x14ac:dyDescent="0.25">
      <c r="A30" s="35"/>
      <c r="B30" s="35"/>
      <c r="C30" s="32" t="s">
        <v>193</v>
      </c>
      <c r="D30" s="38" t="s">
        <v>1</v>
      </c>
      <c r="E30" s="32"/>
      <c r="F30" s="35"/>
      <c r="G30" s="39">
        <f t="shared" si="1"/>
        <v>517240</v>
      </c>
      <c r="H30" s="35"/>
      <c r="I30" s="32">
        <v>877</v>
      </c>
      <c r="J30" s="33" t="s">
        <v>129</v>
      </c>
      <c r="K30" s="34" t="s">
        <v>0</v>
      </c>
      <c r="L30" s="32">
        <v>95</v>
      </c>
      <c r="M30" s="35">
        <v>3170</v>
      </c>
      <c r="N30" s="35">
        <f t="shared" si="2"/>
        <v>224510</v>
      </c>
    </row>
    <row r="31" spans="1:14" s="36" customFormat="1" ht="15.75" customHeight="1" x14ac:dyDescent="0.25">
      <c r="A31" s="35"/>
      <c r="B31" s="35"/>
      <c r="C31" s="40" t="s">
        <v>194</v>
      </c>
      <c r="D31" s="38" t="s">
        <v>1</v>
      </c>
      <c r="E31" s="32"/>
      <c r="F31" s="35"/>
      <c r="G31" s="39">
        <f t="shared" si="1"/>
        <v>517240</v>
      </c>
      <c r="H31" s="35"/>
      <c r="I31" s="32">
        <v>878</v>
      </c>
      <c r="J31" s="33" t="s">
        <v>200</v>
      </c>
      <c r="K31" s="34" t="s">
        <v>0</v>
      </c>
      <c r="L31" s="32">
        <v>23</v>
      </c>
      <c r="M31" s="35">
        <v>2480</v>
      </c>
      <c r="N31" s="35">
        <f t="shared" si="2"/>
        <v>227680</v>
      </c>
    </row>
    <row r="32" spans="1:14" s="36" customFormat="1" ht="15.75" customHeight="1" x14ac:dyDescent="0.25">
      <c r="A32" s="35"/>
      <c r="B32" s="35"/>
      <c r="C32" s="35"/>
      <c r="D32" s="38" t="s">
        <v>1</v>
      </c>
      <c r="E32" s="32"/>
      <c r="F32" s="35"/>
      <c r="G32" s="39">
        <f t="shared" si="1"/>
        <v>517240</v>
      </c>
      <c r="H32" s="35"/>
      <c r="I32" s="32">
        <v>879</v>
      </c>
      <c r="J32" s="33" t="s">
        <v>101</v>
      </c>
      <c r="K32" s="34" t="s">
        <v>0</v>
      </c>
      <c r="L32" s="32">
        <v>85</v>
      </c>
      <c r="M32" s="35">
        <v>2370</v>
      </c>
      <c r="N32" s="35">
        <f t="shared" si="2"/>
        <v>230160</v>
      </c>
    </row>
    <row r="33" spans="1:14" s="36" customFormat="1" ht="15.75" customHeight="1" x14ac:dyDescent="0.25">
      <c r="A33" s="35"/>
      <c r="B33" s="35"/>
      <c r="C33" s="35"/>
      <c r="D33" s="38" t="s">
        <v>1</v>
      </c>
      <c r="E33" s="32"/>
      <c r="F33" s="35"/>
      <c r="G33" s="39">
        <f t="shared" si="1"/>
        <v>517240</v>
      </c>
      <c r="H33" s="35"/>
      <c r="I33" s="32">
        <v>880</v>
      </c>
      <c r="J33" s="33" t="s">
        <v>76</v>
      </c>
      <c r="K33" s="34" t="s">
        <v>0</v>
      </c>
      <c r="L33" s="32">
        <v>6</v>
      </c>
      <c r="M33" s="35">
        <v>4820</v>
      </c>
      <c r="N33" s="35">
        <f t="shared" si="2"/>
        <v>232530</v>
      </c>
    </row>
    <row r="34" spans="1:14" s="36" customFormat="1" ht="15.75" customHeight="1" x14ac:dyDescent="0.25">
      <c r="A34" s="35"/>
      <c r="B34" s="35"/>
      <c r="C34" s="32" t="s">
        <v>195</v>
      </c>
      <c r="D34" s="38" t="s">
        <v>1</v>
      </c>
      <c r="E34" s="32"/>
      <c r="F34" s="35"/>
      <c r="G34" s="39">
        <f t="shared" si="1"/>
        <v>517240</v>
      </c>
      <c r="H34" s="35"/>
      <c r="I34" s="32">
        <v>881</v>
      </c>
      <c r="J34" s="33" t="s">
        <v>70</v>
      </c>
      <c r="K34" s="34" t="s">
        <v>0</v>
      </c>
      <c r="L34" s="32">
        <v>81</v>
      </c>
      <c r="M34" s="35">
        <v>2940</v>
      </c>
      <c r="N34" s="35">
        <f t="shared" si="2"/>
        <v>237350</v>
      </c>
    </row>
    <row r="35" spans="1:14" s="36" customFormat="1" ht="15.75" customHeight="1" x14ac:dyDescent="0.25">
      <c r="A35" s="35"/>
      <c r="B35" s="35"/>
      <c r="C35" s="46" t="s">
        <v>196</v>
      </c>
      <c r="D35" s="38" t="s">
        <v>1</v>
      </c>
      <c r="E35" s="32"/>
      <c r="F35" s="35"/>
      <c r="G35" s="39">
        <f t="shared" si="1"/>
        <v>517240</v>
      </c>
      <c r="H35" s="35"/>
      <c r="I35" s="32">
        <v>882</v>
      </c>
      <c r="J35" s="33" t="s">
        <v>72</v>
      </c>
      <c r="K35" s="34" t="s">
        <v>0</v>
      </c>
      <c r="L35" s="32">
        <v>83</v>
      </c>
      <c r="M35" s="35">
        <v>6450</v>
      </c>
      <c r="N35" s="35">
        <f t="shared" si="2"/>
        <v>240290</v>
      </c>
    </row>
    <row r="36" spans="1:14" s="36" customFormat="1" ht="15.75" customHeight="1" x14ac:dyDescent="0.25">
      <c r="A36" s="35"/>
      <c r="B36" s="35"/>
      <c r="C36" s="47" t="s">
        <v>197</v>
      </c>
      <c r="D36" s="38" t="s">
        <v>1</v>
      </c>
      <c r="E36" s="32"/>
      <c r="F36" s="35"/>
      <c r="G36" s="39">
        <f t="shared" si="1"/>
        <v>517240</v>
      </c>
      <c r="H36" s="35"/>
      <c r="I36" s="32">
        <v>883</v>
      </c>
      <c r="J36" s="33" t="s">
        <v>112</v>
      </c>
      <c r="K36" s="34" t="s">
        <v>0</v>
      </c>
      <c r="L36" s="32">
        <v>84</v>
      </c>
      <c r="M36" s="35">
        <v>4390</v>
      </c>
      <c r="N36" s="35">
        <f t="shared" si="2"/>
        <v>246740</v>
      </c>
    </row>
    <row r="37" spans="1:14" s="36" customFormat="1" ht="15.75" customHeight="1" x14ac:dyDescent="0.25">
      <c r="A37" s="35"/>
      <c r="B37" s="35"/>
      <c r="C37" s="32" t="s">
        <v>198</v>
      </c>
      <c r="D37" s="38" t="s">
        <v>1</v>
      </c>
      <c r="E37" s="32"/>
      <c r="F37" s="35"/>
      <c r="G37" s="39">
        <f t="shared" si="1"/>
        <v>517240</v>
      </c>
      <c r="H37" s="35"/>
      <c r="I37" s="32">
        <v>884</v>
      </c>
      <c r="J37" s="33" t="s">
        <v>114</v>
      </c>
      <c r="K37" s="34" t="s">
        <v>0</v>
      </c>
      <c r="L37" s="32">
        <v>96</v>
      </c>
      <c r="M37" s="35">
        <v>5780</v>
      </c>
      <c r="N37" s="35">
        <f t="shared" si="2"/>
        <v>251130</v>
      </c>
    </row>
    <row r="38" spans="1:14" s="36" customFormat="1" ht="15.75" customHeight="1" x14ac:dyDescent="0.25">
      <c r="A38" s="35"/>
      <c r="B38" s="35"/>
      <c r="C38" s="35"/>
      <c r="D38" s="38" t="s">
        <v>1</v>
      </c>
      <c r="E38" s="32"/>
      <c r="F38" s="35"/>
      <c r="G38" s="39">
        <f t="shared" si="1"/>
        <v>517240</v>
      </c>
      <c r="H38" s="35"/>
      <c r="I38" s="32">
        <v>885</v>
      </c>
      <c r="J38" s="33" t="s">
        <v>63</v>
      </c>
      <c r="K38" s="34" t="s">
        <v>0</v>
      </c>
      <c r="L38" s="32">
        <v>82</v>
      </c>
      <c r="M38" s="35">
        <v>2540</v>
      </c>
      <c r="N38" s="35">
        <f t="shared" si="2"/>
        <v>256910</v>
      </c>
    </row>
    <row r="39" spans="1:14" s="36" customFormat="1" ht="15.75" customHeight="1" x14ac:dyDescent="0.25">
      <c r="A39" s="35"/>
      <c r="B39" s="35"/>
      <c r="C39" s="35"/>
      <c r="D39" s="38" t="s">
        <v>1</v>
      </c>
      <c r="E39" s="32"/>
      <c r="F39" s="35"/>
      <c r="G39" s="39">
        <f t="shared" si="1"/>
        <v>517240</v>
      </c>
      <c r="H39" s="35"/>
      <c r="I39" s="32">
        <v>886</v>
      </c>
      <c r="J39" s="33" t="s">
        <v>52</v>
      </c>
      <c r="K39" s="34" t="s">
        <v>0</v>
      </c>
      <c r="L39" s="32">
        <v>91</v>
      </c>
      <c r="M39" s="35">
        <v>7990</v>
      </c>
      <c r="N39" s="35">
        <f t="shared" si="2"/>
        <v>259450</v>
      </c>
    </row>
    <row r="40" spans="1:14" s="36" customFormat="1" ht="15.75" customHeight="1" x14ac:dyDescent="0.25">
      <c r="A40" s="35"/>
      <c r="B40" s="35"/>
      <c r="C40" s="35"/>
      <c r="D40" s="38" t="s">
        <v>1</v>
      </c>
      <c r="E40" s="35"/>
      <c r="F40" s="35"/>
      <c r="G40" s="39">
        <f>G39+F39</f>
        <v>517240</v>
      </c>
      <c r="H40" s="35"/>
      <c r="I40" s="35"/>
      <c r="J40" s="35"/>
      <c r="K40" s="38" t="s">
        <v>0</v>
      </c>
      <c r="L40" s="35"/>
      <c r="M40" s="35"/>
      <c r="N40" s="35">
        <f t="shared" si="2"/>
        <v>267440</v>
      </c>
    </row>
    <row r="41" spans="1:14" ht="31.5" customHeight="1" x14ac:dyDescent="0.25">
      <c r="A41" s="60" t="s">
        <v>9</v>
      </c>
      <c r="B41" s="60"/>
      <c r="C41" s="61"/>
      <c r="D41" s="66">
        <f>G40+F40</f>
        <v>517240</v>
      </c>
      <c r="E41" s="66"/>
      <c r="F41" s="66"/>
      <c r="G41" s="66"/>
      <c r="H41" s="54" t="s">
        <v>10</v>
      </c>
      <c r="I41" s="54"/>
      <c r="J41" s="55"/>
      <c r="K41" s="66">
        <f>N40+M40</f>
        <v>267440</v>
      </c>
      <c r="L41" s="66"/>
      <c r="M41" s="66"/>
      <c r="N41" s="66"/>
    </row>
    <row r="42" spans="1:14" ht="30.75" customHeight="1" x14ac:dyDescent="0.25">
      <c r="A42" s="54" t="s">
        <v>10</v>
      </c>
      <c r="B42" s="54"/>
      <c r="C42" s="55"/>
      <c r="D42" s="67">
        <f>K41</f>
        <v>267440</v>
      </c>
      <c r="E42" s="67"/>
      <c r="F42" s="67"/>
      <c r="G42" s="67"/>
      <c r="H42" s="52"/>
      <c r="I42" s="52"/>
      <c r="J42" s="13"/>
      <c r="K42" s="53"/>
      <c r="L42" s="53"/>
      <c r="M42" s="53"/>
      <c r="N42" s="14"/>
    </row>
    <row r="43" spans="1:14" ht="36.75" customHeight="1" x14ac:dyDescent="0.25">
      <c r="A43" s="62" t="s">
        <v>11</v>
      </c>
      <c r="B43" s="62"/>
      <c r="C43" s="63"/>
      <c r="D43" s="71">
        <f>D41-D42</f>
        <v>249800</v>
      </c>
      <c r="E43" s="71"/>
      <c r="F43" s="71"/>
      <c r="G43" s="71"/>
      <c r="H43" s="52"/>
      <c r="I43" s="52"/>
      <c r="J43" s="13"/>
      <c r="K43" s="51"/>
      <c r="L43" s="51"/>
      <c r="M43" s="51"/>
      <c r="N43" s="15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3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3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43:C43"/>
    <mergeCell ref="D43:G43"/>
    <mergeCell ref="H43:I43"/>
    <mergeCell ref="K43:M43"/>
    <mergeCell ref="A4:E4"/>
    <mergeCell ref="A41:C41"/>
    <mergeCell ref="D41:G41"/>
    <mergeCell ref="H41:J41"/>
    <mergeCell ref="K41:N41"/>
    <mergeCell ref="A42:C42"/>
    <mergeCell ref="D42:G42"/>
    <mergeCell ref="H42:I42"/>
    <mergeCell ref="K42:M42"/>
  </mergeCells>
  <pageMargins left="0.33088235294117646" right="0" top="0.25" bottom="0" header="0.05" footer="0.05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N54"/>
  <sheetViews>
    <sheetView view="pageBreakPreview" topLeftCell="A16" zoomScale="115" zoomScaleNormal="145" zoomScaleSheetLayoutView="115" zoomScalePageLayoutView="85" workbookViewId="0">
      <selection activeCell="C26" sqref="C26:C34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 t="s">
        <v>79</v>
      </c>
      <c r="D3" s="70" t="s">
        <v>4</v>
      </c>
      <c r="E3" s="70"/>
      <c r="F3" s="17" t="s">
        <v>3</v>
      </c>
      <c r="G3" s="3">
        <v>45605</v>
      </c>
      <c r="H3" s="69" t="s">
        <v>8</v>
      </c>
      <c r="I3" s="69"/>
      <c r="J3" s="18" t="s">
        <v>79</v>
      </c>
      <c r="K3" s="56" t="s">
        <v>5</v>
      </c>
      <c r="L3" s="56"/>
      <c r="M3" s="17" t="s">
        <v>3</v>
      </c>
      <c r="N3" s="3">
        <v>45605</v>
      </c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(8)'!D43</f>
        <v>249800</v>
      </c>
      <c r="G4" s="8" t="s">
        <v>2</v>
      </c>
      <c r="H4" s="10"/>
      <c r="I4" s="10"/>
      <c r="J4" s="6" t="s">
        <v>18</v>
      </c>
      <c r="K4" s="9" t="s">
        <v>0</v>
      </c>
      <c r="L4" s="10"/>
      <c r="M4" s="10">
        <v>2900</v>
      </c>
      <c r="N4" s="8" t="s">
        <v>2</v>
      </c>
    </row>
    <row r="5" spans="1:14" s="36" customFormat="1" ht="16.5" customHeight="1" x14ac:dyDescent="0.25">
      <c r="A5" s="32"/>
      <c r="B5" s="32"/>
      <c r="C5" s="33" t="s">
        <v>14</v>
      </c>
      <c r="D5" s="34" t="s">
        <v>1</v>
      </c>
      <c r="E5" s="32"/>
      <c r="F5" s="35">
        <v>14030</v>
      </c>
      <c r="G5" s="35">
        <f>F4</f>
        <v>249800</v>
      </c>
      <c r="H5" s="32"/>
      <c r="I5" s="32"/>
      <c r="J5" s="33" t="s">
        <v>19</v>
      </c>
      <c r="K5" s="34" t="s">
        <v>0</v>
      </c>
      <c r="L5" s="32"/>
      <c r="M5" s="35">
        <v>630</v>
      </c>
      <c r="N5" s="35">
        <f>M4</f>
        <v>2900</v>
      </c>
    </row>
    <row r="6" spans="1:14" s="36" customFormat="1" ht="16.5" customHeight="1" x14ac:dyDescent="0.25">
      <c r="A6" s="32"/>
      <c r="B6" s="32"/>
      <c r="C6" s="33" t="s">
        <v>15</v>
      </c>
      <c r="D6" s="34" t="s">
        <v>1</v>
      </c>
      <c r="E6" s="32"/>
      <c r="F6" s="35">
        <v>130</v>
      </c>
      <c r="G6" s="35">
        <f>G5+F5</f>
        <v>263830</v>
      </c>
      <c r="H6" s="32"/>
      <c r="I6" s="32"/>
      <c r="J6" s="33" t="s">
        <v>17</v>
      </c>
      <c r="K6" s="34" t="s">
        <v>0</v>
      </c>
      <c r="L6" s="32"/>
      <c r="M6" s="35">
        <v>1280</v>
      </c>
      <c r="N6" s="35">
        <f t="shared" ref="N6" si="0">N5+M5</f>
        <v>3530</v>
      </c>
    </row>
    <row r="7" spans="1:14" s="36" customFormat="1" ht="16.5" customHeight="1" x14ac:dyDescent="0.25">
      <c r="A7" s="32"/>
      <c r="B7" s="32"/>
      <c r="C7" s="33" t="s">
        <v>16</v>
      </c>
      <c r="D7" s="34" t="s">
        <v>1</v>
      </c>
      <c r="E7" s="32"/>
      <c r="F7" s="35">
        <v>120</v>
      </c>
      <c r="G7" s="35">
        <f t="shared" ref="G7:G41" si="1">G6+F6</f>
        <v>263960</v>
      </c>
      <c r="H7" s="32"/>
      <c r="I7" s="32"/>
      <c r="J7" s="33" t="s">
        <v>204</v>
      </c>
      <c r="K7" s="34" t="s">
        <v>0</v>
      </c>
      <c r="L7" s="32"/>
      <c r="M7" s="35">
        <v>1900</v>
      </c>
      <c r="N7" s="35">
        <f>N6+M6</f>
        <v>4810</v>
      </c>
    </row>
    <row r="8" spans="1:14" s="36" customFormat="1" ht="16.5" customHeight="1" x14ac:dyDescent="0.25">
      <c r="A8" s="32"/>
      <c r="B8" s="32"/>
      <c r="C8" s="33" t="s">
        <v>33</v>
      </c>
      <c r="D8" s="34" t="s">
        <v>1</v>
      </c>
      <c r="E8" s="32"/>
      <c r="F8" s="35">
        <v>30000</v>
      </c>
      <c r="G8" s="35">
        <f t="shared" si="1"/>
        <v>264080</v>
      </c>
      <c r="H8" s="32"/>
      <c r="I8" s="32">
        <v>887</v>
      </c>
      <c r="J8" s="33" t="s">
        <v>125</v>
      </c>
      <c r="K8" s="34" t="s">
        <v>0</v>
      </c>
      <c r="L8" s="32">
        <v>61</v>
      </c>
      <c r="M8" s="35">
        <v>77140</v>
      </c>
      <c r="N8" s="35">
        <f t="shared" ref="N8:N42" si="2">N7+M7</f>
        <v>6710</v>
      </c>
    </row>
    <row r="9" spans="1:14" s="36" customFormat="1" ht="16.5" customHeight="1" x14ac:dyDescent="0.25">
      <c r="A9" s="32"/>
      <c r="B9" s="32"/>
      <c r="C9" s="33" t="s">
        <v>36</v>
      </c>
      <c r="D9" s="34" t="s">
        <v>1</v>
      </c>
      <c r="E9" s="32"/>
      <c r="F9" s="35">
        <v>4000</v>
      </c>
      <c r="G9" s="35">
        <f t="shared" si="1"/>
        <v>294080</v>
      </c>
      <c r="H9" s="32"/>
      <c r="I9" s="32">
        <v>888</v>
      </c>
      <c r="J9" s="33" t="s">
        <v>30</v>
      </c>
      <c r="K9" s="34" t="s">
        <v>0</v>
      </c>
      <c r="L9" s="32">
        <v>63</v>
      </c>
      <c r="M9" s="35">
        <v>13040</v>
      </c>
      <c r="N9" s="35">
        <f t="shared" si="2"/>
        <v>83850</v>
      </c>
    </row>
    <row r="10" spans="1:14" s="36" customFormat="1" ht="16.5" customHeight="1" x14ac:dyDescent="0.25">
      <c r="A10" s="32"/>
      <c r="B10" s="32"/>
      <c r="C10" s="33" t="s">
        <v>205</v>
      </c>
      <c r="D10" s="34" t="s">
        <v>1</v>
      </c>
      <c r="E10" s="32"/>
      <c r="F10" s="35">
        <v>750</v>
      </c>
      <c r="G10" s="35">
        <f t="shared" si="1"/>
        <v>298080</v>
      </c>
      <c r="H10" s="32"/>
      <c r="I10" s="32">
        <v>889</v>
      </c>
      <c r="J10" s="33" t="s">
        <v>94</v>
      </c>
      <c r="K10" s="34" t="s">
        <v>0</v>
      </c>
      <c r="L10" s="32">
        <v>51</v>
      </c>
      <c r="M10" s="35">
        <v>7520</v>
      </c>
      <c r="N10" s="35">
        <f t="shared" si="2"/>
        <v>96890</v>
      </c>
    </row>
    <row r="11" spans="1:14" s="36" customFormat="1" ht="16.5" customHeight="1" x14ac:dyDescent="0.25">
      <c r="A11" s="32"/>
      <c r="B11" s="32"/>
      <c r="C11" s="33" t="s">
        <v>86</v>
      </c>
      <c r="D11" s="34" t="s">
        <v>1</v>
      </c>
      <c r="E11" s="32"/>
      <c r="F11" s="35">
        <v>3370</v>
      </c>
      <c r="G11" s="35">
        <f t="shared" si="1"/>
        <v>298830</v>
      </c>
      <c r="H11" s="32"/>
      <c r="I11" s="32">
        <v>890</v>
      </c>
      <c r="J11" s="33" t="s">
        <v>31</v>
      </c>
      <c r="K11" s="34" t="s">
        <v>0</v>
      </c>
      <c r="L11" s="32">
        <v>59</v>
      </c>
      <c r="M11" s="35">
        <v>15010</v>
      </c>
      <c r="N11" s="35">
        <f t="shared" si="2"/>
        <v>104410</v>
      </c>
    </row>
    <row r="12" spans="1:14" s="36" customFormat="1" ht="16.5" customHeight="1" x14ac:dyDescent="0.25">
      <c r="A12" s="32"/>
      <c r="B12" s="32"/>
      <c r="C12" s="33" t="s">
        <v>46</v>
      </c>
      <c r="D12" s="34" t="s">
        <v>1</v>
      </c>
      <c r="E12" s="32"/>
      <c r="F12" s="35">
        <v>3790</v>
      </c>
      <c r="G12" s="35">
        <f t="shared" si="1"/>
        <v>302200</v>
      </c>
      <c r="H12" s="32"/>
      <c r="I12" s="32">
        <v>891</v>
      </c>
      <c r="J12" s="33" t="s">
        <v>35</v>
      </c>
      <c r="K12" s="34" t="s">
        <v>0</v>
      </c>
      <c r="L12" s="32">
        <v>60</v>
      </c>
      <c r="M12" s="35">
        <v>63690</v>
      </c>
      <c r="N12" s="35">
        <f t="shared" si="2"/>
        <v>119420</v>
      </c>
    </row>
    <row r="13" spans="1:14" s="36" customFormat="1" ht="16.5" customHeight="1" x14ac:dyDescent="0.25">
      <c r="A13" s="32"/>
      <c r="B13" s="32"/>
      <c r="C13" s="33" t="s">
        <v>71</v>
      </c>
      <c r="D13" s="34" t="s">
        <v>1</v>
      </c>
      <c r="E13" s="32"/>
      <c r="F13" s="35">
        <v>10630</v>
      </c>
      <c r="G13" s="35">
        <f t="shared" si="1"/>
        <v>305990</v>
      </c>
      <c r="H13" s="32"/>
      <c r="I13" s="32">
        <v>892</v>
      </c>
      <c r="J13" s="33" t="s">
        <v>46</v>
      </c>
      <c r="K13" s="34" t="s">
        <v>0</v>
      </c>
      <c r="L13" s="32">
        <v>47</v>
      </c>
      <c r="M13" s="35">
        <v>2740</v>
      </c>
      <c r="N13" s="35">
        <f t="shared" si="2"/>
        <v>183110</v>
      </c>
    </row>
    <row r="14" spans="1:14" s="36" customFormat="1" ht="16.5" customHeight="1" x14ac:dyDescent="0.25">
      <c r="A14" s="32"/>
      <c r="B14" s="32"/>
      <c r="C14" s="33" t="s">
        <v>146</v>
      </c>
      <c r="D14" s="34" t="s">
        <v>1</v>
      </c>
      <c r="E14" s="32"/>
      <c r="F14" s="35">
        <v>3600</v>
      </c>
      <c r="G14" s="35">
        <f t="shared" si="1"/>
        <v>316620</v>
      </c>
      <c r="H14" s="32"/>
      <c r="I14" s="32">
        <v>893</v>
      </c>
      <c r="J14" s="33" t="s">
        <v>58</v>
      </c>
      <c r="K14" s="34" t="s">
        <v>0</v>
      </c>
      <c r="L14" s="32">
        <v>54</v>
      </c>
      <c r="M14" s="35">
        <v>8050</v>
      </c>
      <c r="N14" s="35">
        <f t="shared" si="2"/>
        <v>185850</v>
      </c>
    </row>
    <row r="15" spans="1:14" s="36" customFormat="1" ht="16.5" customHeight="1" x14ac:dyDescent="0.25">
      <c r="A15" s="35"/>
      <c r="B15" s="35"/>
      <c r="C15" s="33" t="s">
        <v>100</v>
      </c>
      <c r="D15" s="34" t="s">
        <v>1</v>
      </c>
      <c r="E15" s="32"/>
      <c r="F15" s="35">
        <v>4020</v>
      </c>
      <c r="G15" s="35">
        <f t="shared" si="1"/>
        <v>320220</v>
      </c>
      <c r="H15" s="35"/>
      <c r="I15" s="32">
        <v>894</v>
      </c>
      <c r="J15" s="33" t="s">
        <v>59</v>
      </c>
      <c r="K15" s="34" t="s">
        <v>0</v>
      </c>
      <c r="L15" s="32">
        <v>64</v>
      </c>
      <c r="M15" s="35">
        <v>17380</v>
      </c>
      <c r="N15" s="35">
        <f t="shared" si="2"/>
        <v>193900</v>
      </c>
    </row>
    <row r="16" spans="1:14" s="36" customFormat="1" ht="16.5" customHeight="1" x14ac:dyDescent="0.25">
      <c r="A16" s="35"/>
      <c r="B16" s="35"/>
      <c r="C16" s="33" t="s">
        <v>42</v>
      </c>
      <c r="D16" s="34" t="s">
        <v>1</v>
      </c>
      <c r="E16" s="32"/>
      <c r="F16" s="35">
        <v>2480</v>
      </c>
      <c r="G16" s="35">
        <f t="shared" si="1"/>
        <v>324240</v>
      </c>
      <c r="H16" s="35"/>
      <c r="I16" s="32">
        <v>895</v>
      </c>
      <c r="J16" s="33" t="s">
        <v>33</v>
      </c>
      <c r="K16" s="34" t="s">
        <v>0</v>
      </c>
      <c r="L16" s="32">
        <v>49</v>
      </c>
      <c r="M16" s="35">
        <v>55360</v>
      </c>
      <c r="N16" s="35">
        <f t="shared" si="2"/>
        <v>211280</v>
      </c>
    </row>
    <row r="17" spans="1:14" s="36" customFormat="1" ht="16.5" customHeight="1" x14ac:dyDescent="0.25">
      <c r="A17" s="35"/>
      <c r="B17" s="35"/>
      <c r="C17" s="33" t="s">
        <v>96</v>
      </c>
      <c r="D17" s="34" t="s">
        <v>1</v>
      </c>
      <c r="E17" s="32"/>
      <c r="F17" s="35">
        <v>3180</v>
      </c>
      <c r="G17" s="35">
        <f t="shared" si="1"/>
        <v>326720</v>
      </c>
      <c r="H17" s="35"/>
      <c r="I17" s="32">
        <v>896</v>
      </c>
      <c r="J17" s="33" t="s">
        <v>199</v>
      </c>
      <c r="K17" s="34" t="s">
        <v>0</v>
      </c>
      <c r="L17" s="32">
        <v>66</v>
      </c>
      <c r="M17" s="35">
        <v>10420</v>
      </c>
      <c r="N17" s="35">
        <f t="shared" si="2"/>
        <v>266640</v>
      </c>
    </row>
    <row r="18" spans="1:14" s="36" customFormat="1" ht="16.5" customHeight="1" x14ac:dyDescent="0.25">
      <c r="A18" s="35"/>
      <c r="B18" s="35"/>
      <c r="C18" s="33" t="s">
        <v>70</v>
      </c>
      <c r="D18" s="34" t="s">
        <v>1</v>
      </c>
      <c r="E18" s="32"/>
      <c r="F18" s="35">
        <v>2940</v>
      </c>
      <c r="G18" s="35">
        <f t="shared" si="1"/>
        <v>329900</v>
      </c>
      <c r="H18" s="35"/>
      <c r="I18" s="32">
        <v>897</v>
      </c>
      <c r="J18" s="33" t="s">
        <v>62</v>
      </c>
      <c r="K18" s="34" t="s">
        <v>0</v>
      </c>
      <c r="L18" s="32">
        <v>44</v>
      </c>
      <c r="M18" s="35">
        <v>4290</v>
      </c>
      <c r="N18" s="35">
        <f t="shared" si="2"/>
        <v>277060</v>
      </c>
    </row>
    <row r="19" spans="1:14" s="36" customFormat="1" ht="16.5" customHeight="1" x14ac:dyDescent="0.25">
      <c r="A19" s="35"/>
      <c r="B19" s="35"/>
      <c r="C19" s="33" t="s">
        <v>101</v>
      </c>
      <c r="D19" s="34" t="s">
        <v>1</v>
      </c>
      <c r="E19" s="32"/>
      <c r="F19" s="35">
        <v>2370</v>
      </c>
      <c r="G19" s="35">
        <f t="shared" si="1"/>
        <v>332840</v>
      </c>
      <c r="H19" s="35"/>
      <c r="I19" s="32">
        <v>898</v>
      </c>
      <c r="J19" s="33" t="s">
        <v>165</v>
      </c>
      <c r="K19" s="34" t="s">
        <v>0</v>
      </c>
      <c r="L19" s="32">
        <v>65</v>
      </c>
      <c r="M19" s="35">
        <v>1550</v>
      </c>
      <c r="N19" s="35">
        <f t="shared" si="2"/>
        <v>281350</v>
      </c>
    </row>
    <row r="20" spans="1:14" s="36" customFormat="1" ht="16.5" customHeight="1" x14ac:dyDescent="0.25">
      <c r="A20" s="35"/>
      <c r="B20" s="35"/>
      <c r="C20" s="33" t="s">
        <v>147</v>
      </c>
      <c r="D20" s="34" t="s">
        <v>1</v>
      </c>
      <c r="E20" s="32"/>
      <c r="F20" s="35">
        <v>4390</v>
      </c>
      <c r="G20" s="35">
        <f t="shared" si="1"/>
        <v>335210</v>
      </c>
      <c r="H20" s="35"/>
      <c r="I20" s="32">
        <v>899</v>
      </c>
      <c r="J20" s="33" t="s">
        <v>145</v>
      </c>
      <c r="K20" s="34" t="s">
        <v>0</v>
      </c>
      <c r="L20" s="32">
        <v>58</v>
      </c>
      <c r="M20" s="35">
        <v>9690</v>
      </c>
      <c r="N20" s="35">
        <f t="shared" si="2"/>
        <v>282900</v>
      </c>
    </row>
    <row r="21" spans="1:14" s="36" customFormat="1" ht="16.5" customHeight="1" x14ac:dyDescent="0.25">
      <c r="A21" s="35"/>
      <c r="B21" s="35"/>
      <c r="C21" s="33" t="s">
        <v>72</v>
      </c>
      <c r="D21" s="34" t="s">
        <v>1</v>
      </c>
      <c r="E21" s="32"/>
      <c r="F21" s="35">
        <v>6450</v>
      </c>
      <c r="G21" s="35">
        <f t="shared" si="1"/>
        <v>339600</v>
      </c>
      <c r="H21" s="35"/>
      <c r="I21" s="32">
        <v>900</v>
      </c>
      <c r="J21" s="33" t="s">
        <v>45</v>
      </c>
      <c r="K21" s="34" t="s">
        <v>0</v>
      </c>
      <c r="L21" s="32">
        <v>73</v>
      </c>
      <c r="M21" s="35">
        <v>6240</v>
      </c>
      <c r="N21" s="35">
        <f t="shared" si="2"/>
        <v>292590</v>
      </c>
    </row>
    <row r="22" spans="1:14" s="36" customFormat="1" ht="16.5" customHeight="1" x14ac:dyDescent="0.25">
      <c r="A22" s="35"/>
      <c r="B22" s="35"/>
      <c r="C22" s="33" t="s">
        <v>64</v>
      </c>
      <c r="D22" s="34" t="s">
        <v>1</v>
      </c>
      <c r="E22" s="32"/>
      <c r="F22" s="35">
        <v>3810</v>
      </c>
      <c r="G22" s="35">
        <f t="shared" si="1"/>
        <v>346050</v>
      </c>
      <c r="H22" s="35"/>
      <c r="I22" s="32">
        <v>901</v>
      </c>
      <c r="J22" s="33" t="s">
        <v>71</v>
      </c>
      <c r="K22" s="34" t="s">
        <v>0</v>
      </c>
      <c r="L22" s="32">
        <v>74</v>
      </c>
      <c r="M22" s="35">
        <v>3600</v>
      </c>
      <c r="N22" s="35">
        <f t="shared" si="2"/>
        <v>298830</v>
      </c>
    </row>
    <row r="23" spans="1:14" s="36" customFormat="1" ht="16.5" customHeight="1" x14ac:dyDescent="0.25">
      <c r="A23" s="35"/>
      <c r="B23" s="35"/>
      <c r="C23" s="33" t="s">
        <v>52</v>
      </c>
      <c r="D23" s="34" t="s">
        <v>1</v>
      </c>
      <c r="E23" s="32"/>
      <c r="F23" s="35">
        <v>15320</v>
      </c>
      <c r="G23" s="35">
        <f t="shared" si="1"/>
        <v>349860</v>
      </c>
      <c r="H23" s="35"/>
      <c r="I23" s="32">
        <v>902</v>
      </c>
      <c r="J23" s="33" t="s">
        <v>47</v>
      </c>
      <c r="K23" s="34" t="s">
        <v>0</v>
      </c>
      <c r="L23" s="32">
        <v>76</v>
      </c>
      <c r="M23" s="35">
        <v>880</v>
      </c>
      <c r="N23" s="35">
        <f t="shared" si="2"/>
        <v>302430</v>
      </c>
    </row>
    <row r="24" spans="1:14" s="36" customFormat="1" ht="16.5" customHeight="1" x14ac:dyDescent="0.25">
      <c r="A24" s="35"/>
      <c r="B24" s="35"/>
      <c r="C24" s="35"/>
      <c r="D24" s="38" t="s">
        <v>1</v>
      </c>
      <c r="E24" s="32"/>
      <c r="F24" s="35"/>
      <c r="G24" s="35">
        <f t="shared" si="1"/>
        <v>365180</v>
      </c>
      <c r="H24" s="35"/>
      <c r="I24" s="32">
        <v>903</v>
      </c>
      <c r="J24" s="33" t="s">
        <v>205</v>
      </c>
      <c r="K24" s="34" t="s">
        <v>0</v>
      </c>
      <c r="L24" s="32">
        <v>75</v>
      </c>
      <c r="M24" s="35">
        <v>4330</v>
      </c>
      <c r="N24" s="35">
        <f t="shared" si="2"/>
        <v>303310</v>
      </c>
    </row>
    <row r="25" spans="1:14" s="36" customFormat="1" ht="16.5" customHeight="1" x14ac:dyDescent="0.25">
      <c r="A25" s="35"/>
      <c r="B25" s="35"/>
      <c r="C25" s="35"/>
      <c r="D25" s="38" t="s">
        <v>1</v>
      </c>
      <c r="E25" s="32"/>
      <c r="F25" s="35"/>
      <c r="G25" s="39">
        <f t="shared" si="1"/>
        <v>365180</v>
      </c>
      <c r="H25" s="35"/>
      <c r="I25" s="32">
        <v>904</v>
      </c>
      <c r="J25" s="33" t="s">
        <v>213</v>
      </c>
      <c r="K25" s="34" t="s">
        <v>0</v>
      </c>
      <c r="L25" s="32">
        <v>62</v>
      </c>
      <c r="M25" s="35">
        <v>1330</v>
      </c>
      <c r="N25" s="35">
        <f t="shared" si="2"/>
        <v>307640</v>
      </c>
    </row>
    <row r="26" spans="1:14" s="36" customFormat="1" ht="16.5" customHeight="1" x14ac:dyDescent="0.25">
      <c r="A26" s="35"/>
      <c r="B26" s="35"/>
      <c r="C26" s="32" t="s">
        <v>206</v>
      </c>
      <c r="D26" s="38" t="s">
        <v>1</v>
      </c>
      <c r="E26" s="32"/>
      <c r="F26" s="35"/>
      <c r="G26" s="39">
        <f t="shared" si="1"/>
        <v>365180</v>
      </c>
      <c r="H26" s="35"/>
      <c r="I26" s="32">
        <v>905</v>
      </c>
      <c r="J26" s="33" t="s">
        <v>146</v>
      </c>
      <c r="K26" s="34" t="s">
        <v>0</v>
      </c>
      <c r="L26" s="32">
        <v>53</v>
      </c>
      <c r="M26" s="35">
        <v>2510</v>
      </c>
      <c r="N26" s="35">
        <f t="shared" si="2"/>
        <v>308970</v>
      </c>
    </row>
    <row r="27" spans="1:14" s="36" customFormat="1" ht="16.5" customHeight="1" x14ac:dyDescent="0.25">
      <c r="A27" s="35"/>
      <c r="B27" s="35"/>
      <c r="C27" s="32" t="s">
        <v>207</v>
      </c>
      <c r="D27" s="38" t="s">
        <v>1</v>
      </c>
      <c r="E27" s="32"/>
      <c r="F27" s="35"/>
      <c r="G27" s="39">
        <f t="shared" si="1"/>
        <v>365180</v>
      </c>
      <c r="H27" s="35"/>
      <c r="I27" s="32">
        <v>906</v>
      </c>
      <c r="J27" s="33" t="s">
        <v>163</v>
      </c>
      <c r="K27" s="34" t="s">
        <v>0</v>
      </c>
      <c r="L27" s="32">
        <v>56</v>
      </c>
      <c r="M27" s="35">
        <v>2570</v>
      </c>
      <c r="N27" s="35">
        <f t="shared" si="2"/>
        <v>311480</v>
      </c>
    </row>
    <row r="28" spans="1:14" s="36" customFormat="1" ht="16.5" customHeight="1" x14ac:dyDescent="0.25">
      <c r="A28" s="35"/>
      <c r="B28" s="35"/>
      <c r="C28" s="32" t="s">
        <v>208</v>
      </c>
      <c r="D28" s="38" t="s">
        <v>1</v>
      </c>
      <c r="E28" s="32"/>
      <c r="F28" s="35"/>
      <c r="G28" s="39">
        <f t="shared" si="1"/>
        <v>365180</v>
      </c>
      <c r="H28" s="35"/>
      <c r="I28" s="32">
        <v>907</v>
      </c>
      <c r="J28" s="33" t="s">
        <v>127</v>
      </c>
      <c r="K28" s="34" t="s">
        <v>0</v>
      </c>
      <c r="L28" s="32">
        <v>43</v>
      </c>
      <c r="M28" s="35">
        <v>5990</v>
      </c>
      <c r="N28" s="35">
        <f t="shared" si="2"/>
        <v>314050</v>
      </c>
    </row>
    <row r="29" spans="1:14" s="36" customFormat="1" ht="16.5" customHeight="1" x14ac:dyDescent="0.25">
      <c r="A29" s="35"/>
      <c r="B29" s="35"/>
      <c r="C29" s="40" t="s">
        <v>209</v>
      </c>
      <c r="D29" s="38" t="s">
        <v>1</v>
      </c>
      <c r="E29" s="32"/>
      <c r="F29" s="35"/>
      <c r="G29" s="39">
        <f t="shared" si="1"/>
        <v>365180</v>
      </c>
      <c r="H29" s="35"/>
      <c r="I29" s="32">
        <v>908</v>
      </c>
      <c r="J29" s="33" t="s">
        <v>95</v>
      </c>
      <c r="K29" s="34" t="s">
        <v>0</v>
      </c>
      <c r="L29" s="32">
        <v>57</v>
      </c>
      <c r="M29" s="35">
        <v>1830</v>
      </c>
      <c r="N29" s="35">
        <f t="shared" si="2"/>
        <v>320040</v>
      </c>
    </row>
    <row r="30" spans="1:14" s="36" customFormat="1" ht="16.5" customHeight="1" x14ac:dyDescent="0.25">
      <c r="A30" s="35"/>
      <c r="B30" s="35"/>
      <c r="C30" s="35"/>
      <c r="D30" s="38" t="s">
        <v>1</v>
      </c>
      <c r="E30" s="32"/>
      <c r="F30" s="35"/>
      <c r="G30" s="39">
        <f t="shared" si="1"/>
        <v>365180</v>
      </c>
      <c r="H30" s="35"/>
      <c r="I30" s="32">
        <v>909</v>
      </c>
      <c r="J30" s="33" t="s">
        <v>201</v>
      </c>
      <c r="K30" s="34" t="s">
        <v>0</v>
      </c>
      <c r="L30" s="32">
        <v>50</v>
      </c>
      <c r="M30" s="35">
        <v>3310</v>
      </c>
      <c r="N30" s="35">
        <f t="shared" si="2"/>
        <v>321870</v>
      </c>
    </row>
    <row r="31" spans="1:14" s="36" customFormat="1" ht="16.5" customHeight="1" x14ac:dyDescent="0.25">
      <c r="A31" s="35"/>
      <c r="B31" s="35"/>
      <c r="C31" s="35"/>
      <c r="D31" s="34"/>
      <c r="E31" s="32"/>
      <c r="F31" s="35"/>
      <c r="G31" s="35"/>
      <c r="H31" s="35"/>
      <c r="I31" s="32">
        <v>910</v>
      </c>
      <c r="J31" s="33" t="s">
        <v>74</v>
      </c>
      <c r="K31" s="34" t="s">
        <v>0</v>
      </c>
      <c r="L31" s="32">
        <v>69</v>
      </c>
      <c r="M31" s="35">
        <v>3280</v>
      </c>
      <c r="N31" s="35">
        <f t="shared" si="2"/>
        <v>325180</v>
      </c>
    </row>
    <row r="32" spans="1:14" s="36" customFormat="1" ht="16.5" customHeight="1" x14ac:dyDescent="0.25">
      <c r="A32" s="35"/>
      <c r="B32" s="35"/>
      <c r="C32" s="32" t="s">
        <v>210</v>
      </c>
      <c r="D32" s="34"/>
      <c r="E32" s="32"/>
      <c r="F32" s="35"/>
      <c r="G32" s="35"/>
      <c r="H32" s="35"/>
      <c r="I32" s="32">
        <v>911</v>
      </c>
      <c r="J32" s="33" t="s">
        <v>214</v>
      </c>
      <c r="K32" s="34" t="s">
        <v>0</v>
      </c>
      <c r="L32" s="32">
        <v>52</v>
      </c>
      <c r="M32" s="35">
        <v>2140</v>
      </c>
      <c r="N32" s="35">
        <f t="shared" si="2"/>
        <v>328460</v>
      </c>
    </row>
    <row r="33" spans="1:14" s="36" customFormat="1" ht="16.5" customHeight="1" x14ac:dyDescent="0.25">
      <c r="A33" s="35"/>
      <c r="B33" s="35"/>
      <c r="C33" s="46" t="s">
        <v>211</v>
      </c>
      <c r="D33" s="34"/>
      <c r="E33" s="32"/>
      <c r="F33" s="35"/>
      <c r="G33" s="35"/>
      <c r="H33" s="35"/>
      <c r="I33" s="32">
        <v>912</v>
      </c>
      <c r="J33" s="33" t="s">
        <v>70</v>
      </c>
      <c r="K33" s="34" t="s">
        <v>0</v>
      </c>
      <c r="L33" s="32">
        <v>67</v>
      </c>
      <c r="M33" s="35">
        <v>610</v>
      </c>
      <c r="N33" s="35">
        <f t="shared" si="2"/>
        <v>330600</v>
      </c>
    </row>
    <row r="34" spans="1:14" s="36" customFormat="1" ht="16.5" customHeight="1" x14ac:dyDescent="0.25">
      <c r="A34" s="35"/>
      <c r="B34" s="35"/>
      <c r="C34" s="47" t="s">
        <v>212</v>
      </c>
      <c r="D34" s="34"/>
      <c r="E34" s="32"/>
      <c r="F34" s="35"/>
      <c r="G34" s="35"/>
      <c r="H34" s="35"/>
      <c r="I34" s="32">
        <v>913</v>
      </c>
      <c r="J34" s="33" t="s">
        <v>68</v>
      </c>
      <c r="K34" s="34" t="s">
        <v>0</v>
      </c>
      <c r="L34" s="32">
        <v>55</v>
      </c>
      <c r="M34" s="35">
        <v>6900</v>
      </c>
      <c r="N34" s="35">
        <f t="shared" si="2"/>
        <v>331210</v>
      </c>
    </row>
    <row r="35" spans="1:14" s="36" customFormat="1" ht="16.5" customHeight="1" x14ac:dyDescent="0.25">
      <c r="A35" s="35"/>
      <c r="B35" s="35"/>
      <c r="C35" s="32"/>
      <c r="D35" s="34"/>
      <c r="E35" s="32"/>
      <c r="F35" s="35"/>
      <c r="G35" s="35"/>
      <c r="H35" s="35"/>
      <c r="I35" s="32">
        <v>914</v>
      </c>
      <c r="J35" s="33" t="s">
        <v>39</v>
      </c>
      <c r="K35" s="34" t="s">
        <v>0</v>
      </c>
      <c r="L35" s="32">
        <v>71</v>
      </c>
      <c r="M35" s="35">
        <v>2130</v>
      </c>
      <c r="N35" s="35">
        <f t="shared" si="2"/>
        <v>338110</v>
      </c>
    </row>
    <row r="36" spans="1:14" s="36" customFormat="1" ht="16.5" customHeight="1" x14ac:dyDescent="0.25">
      <c r="A36" s="35"/>
      <c r="B36" s="35"/>
      <c r="C36" s="35"/>
      <c r="D36" s="34"/>
      <c r="E36" s="32"/>
      <c r="F36" s="35"/>
      <c r="G36" s="35"/>
      <c r="H36" s="35"/>
      <c r="I36" s="32">
        <v>915</v>
      </c>
      <c r="J36" s="33" t="s">
        <v>215</v>
      </c>
      <c r="K36" s="34" t="s">
        <v>0</v>
      </c>
      <c r="L36" s="32">
        <v>70</v>
      </c>
      <c r="M36" s="35">
        <v>2480</v>
      </c>
      <c r="N36" s="35">
        <f t="shared" si="2"/>
        <v>340240</v>
      </c>
    </row>
    <row r="37" spans="1:14" s="36" customFormat="1" ht="16.5" customHeight="1" x14ac:dyDescent="0.25">
      <c r="A37" s="35"/>
      <c r="B37" s="35"/>
      <c r="C37" s="35"/>
      <c r="D37" s="34"/>
      <c r="E37" s="32"/>
      <c r="F37" s="35"/>
      <c r="G37" s="35"/>
      <c r="H37" s="35"/>
      <c r="I37" s="32">
        <v>916</v>
      </c>
      <c r="J37" s="33" t="s">
        <v>52</v>
      </c>
      <c r="K37" s="34" t="s">
        <v>0</v>
      </c>
      <c r="L37" s="32">
        <v>48</v>
      </c>
      <c r="M37" s="35">
        <v>15320</v>
      </c>
      <c r="N37" s="35">
        <f t="shared" si="2"/>
        <v>342720</v>
      </c>
    </row>
    <row r="38" spans="1:14" s="36" customFormat="1" ht="16.5" customHeight="1" x14ac:dyDescent="0.25">
      <c r="A38" s="35"/>
      <c r="B38" s="35"/>
      <c r="C38" s="35"/>
      <c r="D38" s="34"/>
      <c r="E38" s="32"/>
      <c r="F38" s="35"/>
      <c r="G38" s="35"/>
      <c r="H38" s="35"/>
      <c r="I38" s="35"/>
      <c r="J38" s="35"/>
      <c r="K38" s="34"/>
      <c r="L38" s="32"/>
      <c r="M38" s="35"/>
      <c r="N38" s="35">
        <f t="shared" si="2"/>
        <v>358040</v>
      </c>
    </row>
    <row r="39" spans="1:14" s="11" customFormat="1" ht="21" hidden="1" customHeight="1" x14ac:dyDescent="0.25">
      <c r="A39" s="10"/>
      <c r="B39" s="10"/>
      <c r="C39" s="10"/>
      <c r="D39" s="9" t="s">
        <v>1</v>
      </c>
      <c r="E39" s="8"/>
      <c r="F39" s="10"/>
      <c r="G39" s="10">
        <f>G30+F30</f>
        <v>365180</v>
      </c>
      <c r="H39" s="10"/>
      <c r="I39" s="10"/>
      <c r="J39" s="10"/>
      <c r="K39" s="9" t="s">
        <v>0</v>
      </c>
      <c r="L39" s="8"/>
      <c r="M39" s="10"/>
      <c r="N39" s="10">
        <f t="shared" si="2"/>
        <v>358040</v>
      </c>
    </row>
    <row r="40" spans="1:14" s="11" customFormat="1" ht="21" hidden="1" customHeight="1" x14ac:dyDescent="0.25">
      <c r="A40" s="10"/>
      <c r="B40" s="10"/>
      <c r="C40" s="10"/>
      <c r="D40" s="9" t="s">
        <v>1</v>
      </c>
      <c r="E40" s="8"/>
      <c r="F40" s="10"/>
      <c r="G40" s="10">
        <f t="shared" si="1"/>
        <v>365180</v>
      </c>
      <c r="H40" s="10"/>
      <c r="I40" s="10"/>
      <c r="J40" s="10"/>
      <c r="K40" s="9" t="s">
        <v>0</v>
      </c>
      <c r="L40" s="8"/>
      <c r="M40" s="10"/>
      <c r="N40" s="10">
        <f t="shared" si="2"/>
        <v>358040</v>
      </c>
    </row>
    <row r="41" spans="1:14" s="11" customFormat="1" ht="21" hidden="1" customHeight="1" x14ac:dyDescent="0.25">
      <c r="A41" s="10"/>
      <c r="B41" s="10"/>
      <c r="C41" s="10"/>
      <c r="D41" s="9" t="s">
        <v>1</v>
      </c>
      <c r="E41" s="8"/>
      <c r="F41" s="10"/>
      <c r="G41" s="10">
        <f t="shared" si="1"/>
        <v>365180</v>
      </c>
      <c r="H41" s="10"/>
      <c r="I41" s="10"/>
      <c r="J41" s="10"/>
      <c r="K41" s="9" t="s">
        <v>0</v>
      </c>
      <c r="L41" s="8"/>
      <c r="M41" s="10"/>
      <c r="N41" s="10">
        <f t="shared" si="2"/>
        <v>358040</v>
      </c>
    </row>
    <row r="42" spans="1:14" s="11" customFormat="1" ht="21" hidden="1" customHeight="1" x14ac:dyDescent="0.25">
      <c r="A42" s="10"/>
      <c r="B42" s="10"/>
      <c r="C42" s="10"/>
      <c r="D42" s="9" t="s">
        <v>1</v>
      </c>
      <c r="E42" s="10"/>
      <c r="F42" s="10"/>
      <c r="G42" s="10">
        <f>G41+F41</f>
        <v>365180</v>
      </c>
      <c r="H42" s="10"/>
      <c r="I42" s="10"/>
      <c r="J42" s="10"/>
      <c r="K42" s="9" t="s">
        <v>0</v>
      </c>
      <c r="L42" s="10"/>
      <c r="M42" s="10"/>
      <c r="N42" s="10">
        <f t="shared" si="2"/>
        <v>358040</v>
      </c>
    </row>
    <row r="43" spans="1:14" ht="31.5" customHeight="1" x14ac:dyDescent="0.25">
      <c r="A43" s="60" t="s">
        <v>9</v>
      </c>
      <c r="B43" s="60"/>
      <c r="C43" s="61"/>
      <c r="D43" s="66">
        <f>G42+F42</f>
        <v>365180</v>
      </c>
      <c r="E43" s="66"/>
      <c r="F43" s="66"/>
      <c r="G43" s="66"/>
      <c r="H43" s="54" t="s">
        <v>10</v>
      </c>
      <c r="I43" s="54"/>
      <c r="J43" s="55"/>
      <c r="K43" s="66">
        <f>N42+M42</f>
        <v>358040</v>
      </c>
      <c r="L43" s="66"/>
      <c r="M43" s="66"/>
      <c r="N43" s="66"/>
    </row>
    <row r="44" spans="1:14" ht="30.75" customHeight="1" x14ac:dyDescent="0.25">
      <c r="A44" s="54" t="s">
        <v>10</v>
      </c>
      <c r="B44" s="54"/>
      <c r="C44" s="55"/>
      <c r="D44" s="67">
        <f>K43</f>
        <v>358040</v>
      </c>
      <c r="E44" s="67"/>
      <c r="F44" s="67"/>
      <c r="G44" s="67"/>
      <c r="H44" s="52"/>
      <c r="I44" s="52"/>
      <c r="J44" s="13"/>
      <c r="K44" s="53"/>
      <c r="L44" s="53"/>
      <c r="M44" s="53"/>
      <c r="N44" s="14"/>
    </row>
    <row r="45" spans="1:14" ht="36.75" customHeight="1" x14ac:dyDescent="0.25">
      <c r="A45" s="62" t="s">
        <v>11</v>
      </c>
      <c r="B45" s="62"/>
      <c r="C45" s="63"/>
      <c r="D45" s="71">
        <f>D43-D44</f>
        <v>7140</v>
      </c>
      <c r="E45" s="71"/>
      <c r="F45" s="71"/>
      <c r="G45" s="71"/>
      <c r="H45" s="52"/>
      <c r="I45" s="52"/>
      <c r="J45" s="13"/>
      <c r="K45" s="51"/>
      <c r="L45" s="51"/>
      <c r="M45" s="51"/>
      <c r="N45" s="15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3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3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  <row r="53" spans="3:14" ht="21" customHeight="1" x14ac:dyDescent="0.25">
      <c r="C53" s="7"/>
      <c r="D53" s="4"/>
      <c r="E53" s="4"/>
      <c r="F53" s="4"/>
      <c r="G53" s="4"/>
      <c r="J53" s="7"/>
      <c r="K53" s="4"/>
      <c r="L53" s="4"/>
      <c r="M53" s="4"/>
      <c r="N53" s="4"/>
    </row>
    <row r="54" spans="3:14" ht="21" customHeight="1" x14ac:dyDescent="0.25">
      <c r="C54" s="7"/>
      <c r="D54" s="4"/>
      <c r="E54" s="4"/>
      <c r="F54" s="4"/>
      <c r="G54" s="4"/>
      <c r="J54" s="7"/>
      <c r="K54" s="4"/>
      <c r="L54" s="4"/>
      <c r="M54" s="4"/>
      <c r="N54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45:C45"/>
    <mergeCell ref="D45:G45"/>
    <mergeCell ref="H45:I45"/>
    <mergeCell ref="K45:M45"/>
    <mergeCell ref="A4:E4"/>
    <mergeCell ref="A43:C43"/>
    <mergeCell ref="D43:G43"/>
    <mergeCell ref="H43:J43"/>
    <mergeCell ref="K43:N43"/>
    <mergeCell ref="A44:C44"/>
    <mergeCell ref="D44:G44"/>
    <mergeCell ref="H44:I44"/>
    <mergeCell ref="K44:M44"/>
  </mergeCells>
  <pageMargins left="0.33088235294117646" right="0" top="0.25" bottom="0" header="0.05" footer="0.05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N58"/>
  <sheetViews>
    <sheetView view="pageBreakPreview" topLeftCell="A19" zoomScale="115" zoomScaleNormal="145" zoomScaleSheetLayoutView="115" zoomScalePageLayoutView="85" workbookViewId="0">
      <selection activeCell="C32" sqref="C32:C40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 t="s">
        <v>107</v>
      </c>
      <c r="D3" s="70" t="s">
        <v>4</v>
      </c>
      <c r="E3" s="70"/>
      <c r="F3" s="17" t="s">
        <v>3</v>
      </c>
      <c r="G3" s="3">
        <v>45606</v>
      </c>
      <c r="H3" s="69" t="s">
        <v>8</v>
      </c>
      <c r="I3" s="69"/>
      <c r="J3" s="18" t="s">
        <v>107</v>
      </c>
      <c r="K3" s="56" t="s">
        <v>5</v>
      </c>
      <c r="L3" s="56"/>
      <c r="M3" s="17" t="s">
        <v>3</v>
      </c>
      <c r="N3" s="3">
        <v>45606</v>
      </c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(9)'!D45</f>
        <v>7140</v>
      </c>
      <c r="G4" s="8" t="s">
        <v>2</v>
      </c>
      <c r="H4" s="10"/>
      <c r="I4" s="10"/>
      <c r="J4" s="6" t="s">
        <v>18</v>
      </c>
      <c r="K4" s="9" t="s">
        <v>0</v>
      </c>
      <c r="L4" s="10"/>
      <c r="M4" s="10">
        <v>1020</v>
      </c>
      <c r="N4" s="8" t="s">
        <v>2</v>
      </c>
    </row>
    <row r="5" spans="1:14" s="36" customFormat="1" ht="14.25" customHeight="1" x14ac:dyDescent="0.25">
      <c r="A5" s="32"/>
      <c r="B5" s="32"/>
      <c r="C5" s="33" t="s">
        <v>14</v>
      </c>
      <c r="D5" s="34" t="s">
        <v>1</v>
      </c>
      <c r="E5" s="32"/>
      <c r="F5" s="35">
        <v>25720</v>
      </c>
      <c r="G5" s="35">
        <f>F4</f>
        <v>7140</v>
      </c>
      <c r="H5" s="32"/>
      <c r="I5" s="32"/>
      <c r="J5" s="33" t="s">
        <v>19</v>
      </c>
      <c r="K5" s="34" t="s">
        <v>0</v>
      </c>
      <c r="L5" s="32"/>
      <c r="M5" s="35">
        <v>690</v>
      </c>
      <c r="N5" s="35">
        <f>M4</f>
        <v>1020</v>
      </c>
    </row>
    <row r="6" spans="1:14" s="36" customFormat="1" ht="14.25" customHeight="1" x14ac:dyDescent="0.25">
      <c r="A6" s="32"/>
      <c r="B6" s="32"/>
      <c r="C6" s="33" t="s">
        <v>15</v>
      </c>
      <c r="D6" s="34" t="s">
        <v>1</v>
      </c>
      <c r="E6" s="32"/>
      <c r="F6" s="35">
        <v>150</v>
      </c>
      <c r="G6" s="35">
        <f>G5+F5</f>
        <v>32860</v>
      </c>
      <c r="H6" s="32"/>
      <c r="I6" s="32"/>
      <c r="J6" s="33" t="s">
        <v>17</v>
      </c>
      <c r="K6" s="34" t="s">
        <v>0</v>
      </c>
      <c r="L6" s="32"/>
      <c r="M6" s="35">
        <v>3770</v>
      </c>
      <c r="N6" s="35">
        <f t="shared" ref="N6" si="0">N5+M5</f>
        <v>1710</v>
      </c>
    </row>
    <row r="7" spans="1:14" s="36" customFormat="1" ht="14.25" customHeight="1" x14ac:dyDescent="0.25">
      <c r="A7" s="32"/>
      <c r="B7" s="32"/>
      <c r="C7" s="33" t="s">
        <v>16</v>
      </c>
      <c r="D7" s="34" t="s">
        <v>1</v>
      </c>
      <c r="E7" s="32"/>
      <c r="F7" s="35">
        <v>150</v>
      </c>
      <c r="G7" s="35">
        <f t="shared" ref="G7:G46" si="1">G6+F6</f>
        <v>33010</v>
      </c>
      <c r="H7" s="32"/>
      <c r="I7" s="32">
        <v>917</v>
      </c>
      <c r="J7" s="33" t="s">
        <v>57</v>
      </c>
      <c r="K7" s="34" t="s">
        <v>0</v>
      </c>
      <c r="L7" s="32">
        <v>45</v>
      </c>
      <c r="M7" s="35">
        <v>3390</v>
      </c>
      <c r="N7" s="35">
        <f>N6+M6</f>
        <v>5480</v>
      </c>
    </row>
    <row r="8" spans="1:14" s="36" customFormat="1" ht="14.25" customHeight="1" x14ac:dyDescent="0.25">
      <c r="A8" s="32"/>
      <c r="B8" s="32"/>
      <c r="C8" s="33" t="s">
        <v>216</v>
      </c>
      <c r="D8" s="34" t="s">
        <v>1</v>
      </c>
      <c r="E8" s="32"/>
      <c r="F8" s="35">
        <v>600000</v>
      </c>
      <c r="G8" s="35">
        <f t="shared" si="1"/>
        <v>33160</v>
      </c>
      <c r="H8" s="32"/>
      <c r="I8" s="32">
        <v>918</v>
      </c>
      <c r="J8" s="33" t="s">
        <v>31</v>
      </c>
      <c r="K8" s="34" t="s">
        <v>0</v>
      </c>
      <c r="L8" s="32">
        <v>30</v>
      </c>
      <c r="M8" s="35">
        <v>83360</v>
      </c>
      <c r="N8" s="35">
        <f t="shared" ref="N8:N46" si="2">N7+M7</f>
        <v>8870</v>
      </c>
    </row>
    <row r="9" spans="1:14" s="36" customFormat="1" ht="14.25" customHeight="1" x14ac:dyDescent="0.25">
      <c r="A9" s="32"/>
      <c r="B9" s="32"/>
      <c r="C9" s="33" t="s">
        <v>217</v>
      </c>
      <c r="D9" s="34" t="s">
        <v>1</v>
      </c>
      <c r="E9" s="32"/>
      <c r="F9" s="35">
        <v>10000</v>
      </c>
      <c r="G9" s="35">
        <f t="shared" si="1"/>
        <v>633160</v>
      </c>
      <c r="H9" s="32"/>
      <c r="I9" s="32">
        <v>919</v>
      </c>
      <c r="J9" s="33" t="s">
        <v>35</v>
      </c>
      <c r="K9" s="34" t="s">
        <v>0</v>
      </c>
      <c r="L9" s="32">
        <v>31</v>
      </c>
      <c r="M9" s="35">
        <v>57030</v>
      </c>
      <c r="N9" s="35">
        <f t="shared" si="2"/>
        <v>92230</v>
      </c>
    </row>
    <row r="10" spans="1:14" s="36" customFormat="1" ht="14.25" customHeight="1" x14ac:dyDescent="0.25">
      <c r="A10" s="32"/>
      <c r="B10" s="32"/>
      <c r="C10" s="33" t="s">
        <v>218</v>
      </c>
      <c r="D10" s="34" t="s">
        <v>1</v>
      </c>
      <c r="E10" s="32"/>
      <c r="F10" s="35">
        <v>40000</v>
      </c>
      <c r="G10" s="35">
        <f t="shared" si="1"/>
        <v>643160</v>
      </c>
      <c r="H10" s="32"/>
      <c r="I10" s="32">
        <v>920</v>
      </c>
      <c r="J10" s="33" t="s">
        <v>46</v>
      </c>
      <c r="K10" s="34" t="s">
        <v>0</v>
      </c>
      <c r="L10" s="32">
        <v>37</v>
      </c>
      <c r="M10" s="35">
        <v>6690</v>
      </c>
      <c r="N10" s="35">
        <f t="shared" si="2"/>
        <v>149260</v>
      </c>
    </row>
    <row r="11" spans="1:14" s="36" customFormat="1" ht="14.25" customHeight="1" x14ac:dyDescent="0.25">
      <c r="A11" s="32"/>
      <c r="B11" s="32"/>
      <c r="C11" s="33" t="s">
        <v>68</v>
      </c>
      <c r="D11" s="34" t="s">
        <v>1</v>
      </c>
      <c r="E11" s="32"/>
      <c r="F11" s="35">
        <v>7000</v>
      </c>
      <c r="G11" s="35">
        <f t="shared" si="1"/>
        <v>683160</v>
      </c>
      <c r="H11" s="32"/>
      <c r="I11" s="32">
        <v>921</v>
      </c>
      <c r="J11" s="33" t="s">
        <v>58</v>
      </c>
      <c r="K11" s="34" t="s">
        <v>0</v>
      </c>
      <c r="L11" s="32">
        <v>40</v>
      </c>
      <c r="M11" s="35">
        <v>10920</v>
      </c>
      <c r="N11" s="35">
        <f t="shared" si="2"/>
        <v>155950</v>
      </c>
    </row>
    <row r="12" spans="1:14" s="36" customFormat="1" ht="14.25" customHeight="1" x14ac:dyDescent="0.25">
      <c r="A12" s="32"/>
      <c r="B12" s="32"/>
      <c r="C12" s="33" t="s">
        <v>115</v>
      </c>
      <c r="D12" s="34" t="s">
        <v>1</v>
      </c>
      <c r="E12" s="32"/>
      <c r="F12" s="35">
        <v>2640</v>
      </c>
      <c r="G12" s="35">
        <f t="shared" si="1"/>
        <v>690160</v>
      </c>
      <c r="H12" s="32"/>
      <c r="I12" s="32">
        <v>922</v>
      </c>
      <c r="J12" s="33" t="s">
        <v>59</v>
      </c>
      <c r="K12" s="34" t="s">
        <v>0</v>
      </c>
      <c r="L12" s="32">
        <v>42</v>
      </c>
      <c r="M12" s="35">
        <v>28420</v>
      </c>
      <c r="N12" s="35">
        <f t="shared" si="2"/>
        <v>166870</v>
      </c>
    </row>
    <row r="13" spans="1:14" s="36" customFormat="1" ht="14.25" customHeight="1" x14ac:dyDescent="0.25">
      <c r="A13" s="32"/>
      <c r="B13" s="32"/>
      <c r="C13" s="33" t="s">
        <v>219</v>
      </c>
      <c r="D13" s="34" t="s">
        <v>1</v>
      </c>
      <c r="E13" s="32"/>
      <c r="F13" s="35">
        <v>3220</v>
      </c>
      <c r="G13" s="35">
        <f t="shared" si="1"/>
        <v>692800</v>
      </c>
      <c r="H13" s="32"/>
      <c r="I13" s="32">
        <v>923</v>
      </c>
      <c r="J13" s="33" t="s">
        <v>124</v>
      </c>
      <c r="K13" s="34" t="s">
        <v>0</v>
      </c>
      <c r="L13" s="32">
        <v>39</v>
      </c>
      <c r="M13" s="35">
        <v>19290</v>
      </c>
      <c r="N13" s="35">
        <f t="shared" si="2"/>
        <v>195290</v>
      </c>
    </row>
    <row r="14" spans="1:14" s="36" customFormat="1" ht="14.25" customHeight="1" x14ac:dyDescent="0.25">
      <c r="A14" s="32"/>
      <c r="B14" s="32"/>
      <c r="C14" s="33" t="s">
        <v>114</v>
      </c>
      <c r="D14" s="34" t="s">
        <v>1</v>
      </c>
      <c r="E14" s="32"/>
      <c r="F14" s="35">
        <v>5780</v>
      </c>
      <c r="G14" s="35">
        <f t="shared" si="1"/>
        <v>696020</v>
      </c>
      <c r="H14" s="32"/>
      <c r="I14" s="32">
        <v>924</v>
      </c>
      <c r="J14" s="33" t="s">
        <v>33</v>
      </c>
      <c r="K14" s="34" t="s">
        <v>0</v>
      </c>
      <c r="L14" s="32">
        <v>38</v>
      </c>
      <c r="M14" s="35">
        <v>78280</v>
      </c>
      <c r="N14" s="35">
        <f t="shared" si="2"/>
        <v>214580</v>
      </c>
    </row>
    <row r="15" spans="1:14" s="36" customFormat="1" ht="14.25" customHeight="1" x14ac:dyDescent="0.25">
      <c r="A15" s="35"/>
      <c r="B15" s="35"/>
      <c r="C15" s="33" t="s">
        <v>76</v>
      </c>
      <c r="D15" s="34" t="s">
        <v>1</v>
      </c>
      <c r="E15" s="32"/>
      <c r="F15" s="35">
        <v>4820</v>
      </c>
      <c r="G15" s="35">
        <f t="shared" si="1"/>
        <v>701800</v>
      </c>
      <c r="H15" s="35"/>
      <c r="I15" s="32">
        <v>925</v>
      </c>
      <c r="J15" s="33" t="s">
        <v>34</v>
      </c>
      <c r="K15" s="34" t="s">
        <v>0</v>
      </c>
      <c r="L15" s="32">
        <v>29</v>
      </c>
      <c r="M15" s="35">
        <v>56510</v>
      </c>
      <c r="N15" s="35">
        <f t="shared" si="2"/>
        <v>292860</v>
      </c>
    </row>
    <row r="16" spans="1:14" s="36" customFormat="1" ht="14.25" customHeight="1" x14ac:dyDescent="0.25">
      <c r="A16" s="35"/>
      <c r="B16" s="35"/>
      <c r="C16" s="33" t="s">
        <v>46</v>
      </c>
      <c r="D16" s="34" t="s">
        <v>1</v>
      </c>
      <c r="E16" s="32"/>
      <c r="F16" s="35">
        <v>2740</v>
      </c>
      <c r="G16" s="35">
        <f t="shared" si="1"/>
        <v>706620</v>
      </c>
      <c r="H16" s="35"/>
      <c r="I16" s="32">
        <v>926</v>
      </c>
      <c r="J16" s="33" t="s">
        <v>60</v>
      </c>
      <c r="K16" s="34" t="s">
        <v>0</v>
      </c>
      <c r="L16" s="32">
        <v>41</v>
      </c>
      <c r="M16" s="35">
        <v>82040</v>
      </c>
      <c r="N16" s="35">
        <f t="shared" si="2"/>
        <v>349370</v>
      </c>
    </row>
    <row r="17" spans="1:14" s="36" customFormat="1" ht="14.25" customHeight="1" x14ac:dyDescent="0.25">
      <c r="A17" s="35"/>
      <c r="B17" s="35"/>
      <c r="C17" s="33" t="s">
        <v>220</v>
      </c>
      <c r="D17" s="34" t="s">
        <v>1</v>
      </c>
      <c r="E17" s="32"/>
      <c r="F17" s="35">
        <v>2140</v>
      </c>
      <c r="G17" s="35">
        <f t="shared" si="1"/>
        <v>709360</v>
      </c>
      <c r="H17" s="35"/>
      <c r="I17" s="32">
        <v>927</v>
      </c>
      <c r="J17" s="33" t="s">
        <v>60</v>
      </c>
      <c r="K17" s="34" t="s">
        <v>0</v>
      </c>
      <c r="L17" s="32">
        <v>26</v>
      </c>
      <c r="M17" s="35">
        <v>20050</v>
      </c>
      <c r="N17" s="35">
        <f t="shared" si="2"/>
        <v>431410</v>
      </c>
    </row>
    <row r="18" spans="1:14" s="36" customFormat="1" ht="14.25" customHeight="1" x14ac:dyDescent="0.25">
      <c r="A18" s="35"/>
      <c r="B18" s="35"/>
      <c r="C18" s="33" t="s">
        <v>74</v>
      </c>
      <c r="D18" s="34" t="s">
        <v>1</v>
      </c>
      <c r="E18" s="32"/>
      <c r="F18" s="35">
        <v>3280</v>
      </c>
      <c r="G18" s="35">
        <f t="shared" si="1"/>
        <v>711500</v>
      </c>
      <c r="H18" s="35"/>
      <c r="I18" s="32">
        <v>928</v>
      </c>
      <c r="J18" s="33" t="s">
        <v>83</v>
      </c>
      <c r="K18" s="34" t="s">
        <v>0</v>
      </c>
      <c r="L18" s="32">
        <v>1076</v>
      </c>
      <c r="M18" s="35">
        <v>4500</v>
      </c>
      <c r="N18" s="35">
        <f t="shared" si="2"/>
        <v>451460</v>
      </c>
    </row>
    <row r="19" spans="1:14" s="36" customFormat="1" ht="14.25" customHeight="1" x14ac:dyDescent="0.25">
      <c r="A19" s="35"/>
      <c r="B19" s="35"/>
      <c r="C19" s="33" t="s">
        <v>201</v>
      </c>
      <c r="D19" s="34" t="s">
        <v>1</v>
      </c>
      <c r="E19" s="32"/>
      <c r="F19" s="35">
        <v>3310</v>
      </c>
      <c r="G19" s="35">
        <f t="shared" si="1"/>
        <v>714780</v>
      </c>
      <c r="H19" s="35"/>
      <c r="I19" s="32">
        <v>929</v>
      </c>
      <c r="J19" s="33" t="s">
        <v>91</v>
      </c>
      <c r="K19" s="34" t="s">
        <v>0</v>
      </c>
      <c r="L19" s="32">
        <v>1068</v>
      </c>
      <c r="M19" s="35">
        <v>23180</v>
      </c>
      <c r="N19" s="35">
        <f t="shared" si="2"/>
        <v>455960</v>
      </c>
    </row>
    <row r="20" spans="1:14" s="36" customFormat="1" ht="14.25" customHeight="1" x14ac:dyDescent="0.25">
      <c r="A20" s="35"/>
      <c r="B20" s="35"/>
      <c r="C20" s="33" t="s">
        <v>95</v>
      </c>
      <c r="D20" s="34" t="s">
        <v>1</v>
      </c>
      <c r="E20" s="32"/>
      <c r="F20" s="35">
        <v>1830</v>
      </c>
      <c r="G20" s="35">
        <f t="shared" si="1"/>
        <v>718090</v>
      </c>
      <c r="H20" s="35"/>
      <c r="I20" s="32">
        <v>930</v>
      </c>
      <c r="J20" s="33" t="s">
        <v>86</v>
      </c>
      <c r="K20" s="34" t="s">
        <v>0</v>
      </c>
      <c r="L20" s="32">
        <v>77</v>
      </c>
      <c r="M20" s="35">
        <v>3090</v>
      </c>
      <c r="N20" s="35">
        <f t="shared" si="2"/>
        <v>479140</v>
      </c>
    </row>
    <row r="21" spans="1:14" s="36" customFormat="1" ht="14.25" customHeight="1" x14ac:dyDescent="0.25">
      <c r="A21" s="35"/>
      <c r="B21" s="35"/>
      <c r="C21" s="33" t="s">
        <v>163</v>
      </c>
      <c r="D21" s="34" t="s">
        <v>1</v>
      </c>
      <c r="E21" s="32"/>
      <c r="F21" s="35">
        <v>2570</v>
      </c>
      <c r="G21" s="35">
        <f t="shared" si="1"/>
        <v>719920</v>
      </c>
      <c r="H21" s="35"/>
      <c r="I21" s="32">
        <v>931</v>
      </c>
      <c r="J21" s="33" t="s">
        <v>145</v>
      </c>
      <c r="K21" s="34" t="s">
        <v>0</v>
      </c>
      <c r="L21" s="32">
        <v>27</v>
      </c>
      <c r="M21" s="35">
        <v>4310</v>
      </c>
      <c r="N21" s="35">
        <f t="shared" si="2"/>
        <v>482230</v>
      </c>
    </row>
    <row r="22" spans="1:14" s="36" customFormat="1" ht="14.25" customHeight="1" x14ac:dyDescent="0.25">
      <c r="A22" s="35"/>
      <c r="B22" s="35"/>
      <c r="C22" s="33" t="s">
        <v>47</v>
      </c>
      <c r="D22" s="34" t="s">
        <v>1</v>
      </c>
      <c r="E22" s="32"/>
      <c r="F22" s="35">
        <v>880</v>
      </c>
      <c r="G22" s="35">
        <f t="shared" si="1"/>
        <v>722490</v>
      </c>
      <c r="H22" s="35"/>
      <c r="I22" s="32">
        <v>932</v>
      </c>
      <c r="J22" s="33" t="s">
        <v>145</v>
      </c>
      <c r="K22" s="34" t="s">
        <v>0</v>
      </c>
      <c r="L22" s="32">
        <v>79</v>
      </c>
      <c r="M22" s="35">
        <v>5830</v>
      </c>
      <c r="N22" s="35">
        <f t="shared" si="2"/>
        <v>486540</v>
      </c>
    </row>
    <row r="23" spans="1:14" s="36" customFormat="1" ht="14.25" customHeight="1" x14ac:dyDescent="0.25">
      <c r="A23" s="35"/>
      <c r="B23" s="35"/>
      <c r="C23" s="33" t="s">
        <v>71</v>
      </c>
      <c r="D23" s="34" t="s">
        <v>1</v>
      </c>
      <c r="E23" s="32"/>
      <c r="F23" s="35">
        <v>3600</v>
      </c>
      <c r="G23" s="35">
        <f t="shared" si="1"/>
        <v>723370</v>
      </c>
      <c r="H23" s="35"/>
      <c r="I23" s="32">
        <v>933</v>
      </c>
      <c r="J23" s="33" t="s">
        <v>221</v>
      </c>
      <c r="K23" s="34" t="s">
        <v>0</v>
      </c>
      <c r="L23" s="32">
        <v>1064</v>
      </c>
      <c r="M23" s="35">
        <v>900</v>
      </c>
      <c r="N23" s="35">
        <f t="shared" si="2"/>
        <v>492370</v>
      </c>
    </row>
    <row r="24" spans="1:14" s="36" customFormat="1" ht="14.25" customHeight="1" x14ac:dyDescent="0.25">
      <c r="A24" s="35"/>
      <c r="B24" s="35"/>
      <c r="C24" s="33" t="s">
        <v>205</v>
      </c>
      <c r="D24" s="34" t="s">
        <v>1</v>
      </c>
      <c r="E24" s="32"/>
      <c r="F24" s="35">
        <v>4330</v>
      </c>
      <c r="G24" s="35">
        <f t="shared" si="1"/>
        <v>726970</v>
      </c>
      <c r="H24" s="35"/>
      <c r="I24" s="32">
        <v>934</v>
      </c>
      <c r="J24" s="33" t="s">
        <v>71</v>
      </c>
      <c r="K24" s="34" t="s">
        <v>0</v>
      </c>
      <c r="L24" s="32">
        <v>1072</v>
      </c>
      <c r="M24" s="35">
        <v>11370</v>
      </c>
      <c r="N24" s="35">
        <f t="shared" si="2"/>
        <v>493270</v>
      </c>
    </row>
    <row r="25" spans="1:14" s="36" customFormat="1" ht="14.25" customHeight="1" x14ac:dyDescent="0.25">
      <c r="A25" s="35"/>
      <c r="B25" s="35"/>
      <c r="C25" s="33" t="s">
        <v>45</v>
      </c>
      <c r="D25" s="34" t="s">
        <v>1</v>
      </c>
      <c r="E25" s="32"/>
      <c r="F25" s="35">
        <v>6240</v>
      </c>
      <c r="G25" s="35">
        <f t="shared" si="1"/>
        <v>731300</v>
      </c>
      <c r="H25" s="35"/>
      <c r="I25" s="32">
        <v>935</v>
      </c>
      <c r="J25" s="33" t="s">
        <v>47</v>
      </c>
      <c r="K25" s="34" t="s">
        <v>0</v>
      </c>
      <c r="L25" s="32">
        <v>1073</v>
      </c>
      <c r="M25" s="35">
        <v>2790</v>
      </c>
      <c r="N25" s="35">
        <f t="shared" si="2"/>
        <v>504640</v>
      </c>
    </row>
    <row r="26" spans="1:14" s="36" customFormat="1" ht="14.25" customHeight="1" x14ac:dyDescent="0.25">
      <c r="A26" s="35"/>
      <c r="B26" s="35"/>
      <c r="C26" s="33" t="s">
        <v>70</v>
      </c>
      <c r="D26" s="34" t="s">
        <v>1</v>
      </c>
      <c r="E26" s="32"/>
      <c r="F26" s="35">
        <v>610</v>
      </c>
      <c r="G26" s="35">
        <f t="shared" si="1"/>
        <v>737540</v>
      </c>
      <c r="H26" s="35"/>
      <c r="I26" s="32">
        <v>936</v>
      </c>
      <c r="J26" s="33" t="s">
        <v>205</v>
      </c>
      <c r="K26" s="34" t="s">
        <v>0</v>
      </c>
      <c r="L26" s="32">
        <v>32</v>
      </c>
      <c r="M26" s="35">
        <v>6480</v>
      </c>
      <c r="N26" s="35">
        <f t="shared" si="2"/>
        <v>507430</v>
      </c>
    </row>
    <row r="27" spans="1:14" s="36" customFormat="1" ht="14.25" customHeight="1" x14ac:dyDescent="0.25">
      <c r="A27" s="35"/>
      <c r="B27" s="35"/>
      <c r="C27" s="33" t="s">
        <v>35</v>
      </c>
      <c r="D27" s="34" t="s">
        <v>1</v>
      </c>
      <c r="E27" s="32"/>
      <c r="F27" s="35">
        <v>50000</v>
      </c>
      <c r="G27" s="35">
        <f t="shared" si="1"/>
        <v>738150</v>
      </c>
      <c r="H27" s="35"/>
      <c r="I27" s="32">
        <v>937</v>
      </c>
      <c r="J27" s="33" t="s">
        <v>51</v>
      </c>
      <c r="K27" s="34" t="s">
        <v>0</v>
      </c>
      <c r="L27" s="32">
        <v>1065</v>
      </c>
      <c r="M27" s="35">
        <v>3520</v>
      </c>
      <c r="N27" s="35">
        <f t="shared" si="2"/>
        <v>513910</v>
      </c>
    </row>
    <row r="28" spans="1:14" s="36" customFormat="1" ht="14.25" customHeight="1" x14ac:dyDescent="0.25">
      <c r="A28" s="35"/>
      <c r="B28" s="35"/>
      <c r="C28" s="33" t="s">
        <v>52</v>
      </c>
      <c r="D28" s="34" t="s">
        <v>1</v>
      </c>
      <c r="E28" s="32"/>
      <c r="F28" s="35">
        <v>30930</v>
      </c>
      <c r="G28" s="35">
        <f t="shared" si="1"/>
        <v>788150</v>
      </c>
      <c r="H28" s="35"/>
      <c r="I28" s="32">
        <v>938</v>
      </c>
      <c r="J28" s="33" t="s">
        <v>130</v>
      </c>
      <c r="K28" s="34" t="s">
        <v>0</v>
      </c>
      <c r="L28" s="32">
        <v>33</v>
      </c>
      <c r="M28" s="35">
        <v>9610</v>
      </c>
      <c r="N28" s="35">
        <f t="shared" si="2"/>
        <v>517430</v>
      </c>
    </row>
    <row r="29" spans="1:14" s="36" customFormat="1" ht="14.25" customHeight="1" x14ac:dyDescent="0.25">
      <c r="A29" s="35"/>
      <c r="B29" s="35"/>
      <c r="C29" s="33"/>
      <c r="D29" s="34"/>
      <c r="E29" s="32"/>
      <c r="F29" s="35"/>
      <c r="G29" s="35">
        <f t="shared" si="1"/>
        <v>819080</v>
      </c>
      <c r="H29" s="35"/>
      <c r="I29" s="32">
        <v>939</v>
      </c>
      <c r="J29" s="33" t="s">
        <v>95</v>
      </c>
      <c r="K29" s="34" t="s">
        <v>0</v>
      </c>
      <c r="L29" s="32">
        <v>78</v>
      </c>
      <c r="M29" s="35">
        <v>2970</v>
      </c>
      <c r="N29" s="35">
        <f t="shared" si="2"/>
        <v>527040</v>
      </c>
    </row>
    <row r="30" spans="1:14" s="36" customFormat="1" ht="14.25" customHeight="1" x14ac:dyDescent="0.25">
      <c r="A30" s="35"/>
      <c r="B30" s="35"/>
      <c r="C30" s="33"/>
      <c r="D30" s="34"/>
      <c r="E30" s="32"/>
      <c r="F30" s="35"/>
      <c r="G30" s="39">
        <f t="shared" si="1"/>
        <v>819080</v>
      </c>
      <c r="H30" s="35"/>
      <c r="I30" s="32">
        <v>940</v>
      </c>
      <c r="J30" s="33" t="s">
        <v>222</v>
      </c>
      <c r="K30" s="34" t="s">
        <v>0</v>
      </c>
      <c r="L30" s="32">
        <v>1066</v>
      </c>
      <c r="M30" s="35">
        <v>3460</v>
      </c>
      <c r="N30" s="35">
        <f t="shared" si="2"/>
        <v>530010</v>
      </c>
    </row>
    <row r="31" spans="1:14" s="36" customFormat="1" ht="14.25" customHeight="1" x14ac:dyDescent="0.25">
      <c r="A31" s="35"/>
      <c r="B31" s="35"/>
      <c r="C31" s="33"/>
      <c r="D31" s="34"/>
      <c r="E31" s="32"/>
      <c r="F31" s="35"/>
      <c r="G31" s="39">
        <f t="shared" si="1"/>
        <v>819080</v>
      </c>
      <c r="H31" s="35"/>
      <c r="I31" s="32">
        <v>941</v>
      </c>
      <c r="J31" s="33" t="s">
        <v>49</v>
      </c>
      <c r="K31" s="34" t="s">
        <v>0</v>
      </c>
      <c r="L31" s="32">
        <v>1067</v>
      </c>
      <c r="M31" s="35">
        <v>11280</v>
      </c>
      <c r="N31" s="35">
        <f t="shared" si="2"/>
        <v>533470</v>
      </c>
    </row>
    <row r="32" spans="1:14" s="36" customFormat="1" ht="14.25" customHeight="1" x14ac:dyDescent="0.25">
      <c r="A32" s="35"/>
      <c r="B32" s="35"/>
      <c r="C32" s="32" t="s">
        <v>226</v>
      </c>
      <c r="D32" s="34"/>
      <c r="E32" s="32"/>
      <c r="F32" s="35"/>
      <c r="G32" s="39">
        <f t="shared" si="1"/>
        <v>819080</v>
      </c>
      <c r="H32" s="35"/>
      <c r="I32" s="32">
        <v>942</v>
      </c>
      <c r="J32" s="33" t="s">
        <v>96</v>
      </c>
      <c r="K32" s="34" t="s">
        <v>0</v>
      </c>
      <c r="L32" s="32">
        <v>1069</v>
      </c>
      <c r="M32" s="35">
        <v>5160</v>
      </c>
      <c r="N32" s="35">
        <f t="shared" si="2"/>
        <v>544750</v>
      </c>
    </row>
    <row r="33" spans="1:14" s="36" customFormat="1" ht="14.25" customHeight="1" x14ac:dyDescent="0.25">
      <c r="A33" s="35"/>
      <c r="B33" s="35"/>
      <c r="C33" s="32" t="s">
        <v>227</v>
      </c>
      <c r="D33" s="34"/>
      <c r="E33" s="32"/>
      <c r="F33" s="35"/>
      <c r="G33" s="39">
        <f t="shared" si="1"/>
        <v>819080</v>
      </c>
      <c r="H33" s="35"/>
      <c r="I33" s="32">
        <v>943</v>
      </c>
      <c r="J33" s="33" t="s">
        <v>97</v>
      </c>
      <c r="K33" s="34" t="s">
        <v>0</v>
      </c>
      <c r="L33" s="32">
        <v>1070</v>
      </c>
      <c r="M33" s="35">
        <v>4890</v>
      </c>
      <c r="N33" s="35">
        <f t="shared" si="2"/>
        <v>549910</v>
      </c>
    </row>
    <row r="34" spans="1:14" s="36" customFormat="1" ht="14.25" customHeight="1" x14ac:dyDescent="0.25">
      <c r="A34" s="35"/>
      <c r="B34" s="35"/>
      <c r="C34" s="32" t="s">
        <v>228</v>
      </c>
      <c r="D34" s="34"/>
      <c r="E34" s="32"/>
      <c r="F34" s="35"/>
      <c r="G34" s="39">
        <f t="shared" si="1"/>
        <v>819080</v>
      </c>
      <c r="H34" s="35"/>
      <c r="I34" s="32">
        <v>944</v>
      </c>
      <c r="J34" s="33" t="s">
        <v>147</v>
      </c>
      <c r="K34" s="34" t="s">
        <v>0</v>
      </c>
      <c r="L34" s="32">
        <v>1071</v>
      </c>
      <c r="M34" s="35">
        <v>5640</v>
      </c>
      <c r="N34" s="35">
        <f t="shared" si="2"/>
        <v>554800</v>
      </c>
    </row>
    <row r="35" spans="1:14" s="36" customFormat="1" ht="14.25" customHeight="1" x14ac:dyDescent="0.25">
      <c r="A35" s="35"/>
      <c r="B35" s="35"/>
      <c r="C35" s="40" t="s">
        <v>229</v>
      </c>
      <c r="D35" s="34"/>
      <c r="E35" s="32"/>
      <c r="F35" s="35"/>
      <c r="G35" s="39">
        <f t="shared" si="1"/>
        <v>819080</v>
      </c>
      <c r="H35" s="35"/>
      <c r="I35" s="32">
        <v>945</v>
      </c>
      <c r="J35" s="33" t="s">
        <v>114</v>
      </c>
      <c r="K35" s="34" t="s">
        <v>0</v>
      </c>
      <c r="L35" s="32">
        <v>35</v>
      </c>
      <c r="M35" s="35">
        <v>17540</v>
      </c>
      <c r="N35" s="35">
        <f t="shared" si="2"/>
        <v>560440</v>
      </c>
    </row>
    <row r="36" spans="1:14" s="36" customFormat="1" ht="14.25" customHeight="1" x14ac:dyDescent="0.25">
      <c r="A36" s="35"/>
      <c r="B36" s="35"/>
      <c r="C36" s="35"/>
      <c r="D36" s="34"/>
      <c r="E36" s="32"/>
      <c r="F36" s="35"/>
      <c r="G36" s="39">
        <f t="shared" si="1"/>
        <v>819080</v>
      </c>
      <c r="H36" s="35"/>
      <c r="I36" s="32">
        <v>946</v>
      </c>
      <c r="J36" s="33" t="s">
        <v>115</v>
      </c>
      <c r="K36" s="34" t="s">
        <v>0</v>
      </c>
      <c r="L36" s="32">
        <v>1075</v>
      </c>
      <c r="M36" s="35">
        <v>2680</v>
      </c>
      <c r="N36" s="35">
        <f t="shared" si="2"/>
        <v>577980</v>
      </c>
    </row>
    <row r="37" spans="1:14" s="36" customFormat="1" ht="14.25" customHeight="1" x14ac:dyDescent="0.25">
      <c r="A37" s="35"/>
      <c r="B37" s="35"/>
      <c r="C37" s="35"/>
      <c r="D37" s="34"/>
      <c r="E37" s="32"/>
      <c r="F37" s="35"/>
      <c r="G37" s="39">
        <f t="shared" si="1"/>
        <v>819080</v>
      </c>
      <c r="H37" s="35"/>
      <c r="I37" s="32">
        <v>947</v>
      </c>
      <c r="J37" s="33" t="s">
        <v>99</v>
      </c>
      <c r="K37" s="34" t="s">
        <v>0</v>
      </c>
      <c r="L37" s="32">
        <v>1074</v>
      </c>
      <c r="M37" s="35">
        <v>2430</v>
      </c>
      <c r="N37" s="35">
        <f t="shared" si="2"/>
        <v>580660</v>
      </c>
    </row>
    <row r="38" spans="1:14" s="36" customFormat="1" ht="14.25" customHeight="1" x14ac:dyDescent="0.25">
      <c r="A38" s="35"/>
      <c r="B38" s="35"/>
      <c r="C38" s="32" t="s">
        <v>230</v>
      </c>
      <c r="D38" s="34"/>
      <c r="E38" s="32"/>
      <c r="F38" s="35"/>
      <c r="G38" s="39">
        <f t="shared" si="1"/>
        <v>819080</v>
      </c>
      <c r="H38" s="35"/>
      <c r="I38" s="32">
        <v>948</v>
      </c>
      <c r="J38" s="33" t="s">
        <v>223</v>
      </c>
      <c r="K38" s="34" t="s">
        <v>0</v>
      </c>
      <c r="L38" s="32">
        <v>1077</v>
      </c>
      <c r="M38" s="35">
        <v>730</v>
      </c>
      <c r="N38" s="35">
        <f t="shared" si="2"/>
        <v>583090</v>
      </c>
    </row>
    <row r="39" spans="1:14" s="36" customFormat="1" ht="14.25" customHeight="1" x14ac:dyDescent="0.25">
      <c r="A39" s="35"/>
      <c r="B39" s="35"/>
      <c r="C39" s="46" t="s">
        <v>231</v>
      </c>
      <c r="D39" s="34"/>
      <c r="E39" s="32"/>
      <c r="F39" s="35"/>
      <c r="G39" s="39">
        <f t="shared" si="1"/>
        <v>819080</v>
      </c>
      <c r="H39" s="35"/>
      <c r="I39" s="32">
        <v>949</v>
      </c>
      <c r="J39" s="33" t="s">
        <v>224</v>
      </c>
      <c r="K39" s="34" t="s">
        <v>0</v>
      </c>
      <c r="L39" s="32">
        <v>1078</v>
      </c>
      <c r="M39" s="35">
        <v>2160</v>
      </c>
      <c r="N39" s="35">
        <f t="shared" si="2"/>
        <v>583820</v>
      </c>
    </row>
    <row r="40" spans="1:14" s="36" customFormat="1" ht="14.25" customHeight="1" x14ac:dyDescent="0.25">
      <c r="A40" s="35"/>
      <c r="B40" s="35"/>
      <c r="C40" s="47" t="s">
        <v>232</v>
      </c>
      <c r="D40" s="34"/>
      <c r="E40" s="32"/>
      <c r="F40" s="35"/>
      <c r="G40" s="39">
        <f t="shared" si="1"/>
        <v>819080</v>
      </c>
      <c r="H40" s="35"/>
      <c r="I40" s="32">
        <v>950</v>
      </c>
      <c r="J40" s="33" t="s">
        <v>73</v>
      </c>
      <c r="K40" s="34" t="s">
        <v>0</v>
      </c>
      <c r="L40" s="32">
        <v>1079</v>
      </c>
      <c r="M40" s="35">
        <v>510</v>
      </c>
      <c r="N40" s="35">
        <f t="shared" si="2"/>
        <v>585980</v>
      </c>
    </row>
    <row r="41" spans="1:14" s="36" customFormat="1" ht="14.25" customHeight="1" x14ac:dyDescent="0.25">
      <c r="A41" s="35"/>
      <c r="B41" s="35"/>
      <c r="C41" s="35"/>
      <c r="D41" s="38" t="s">
        <v>1</v>
      </c>
      <c r="E41" s="32"/>
      <c r="F41" s="35"/>
      <c r="G41" s="39">
        <f t="shared" si="1"/>
        <v>819080</v>
      </c>
      <c r="H41" s="35"/>
      <c r="I41" s="32">
        <v>951</v>
      </c>
      <c r="J41" s="33" t="s">
        <v>225</v>
      </c>
      <c r="K41" s="34" t="s">
        <v>0</v>
      </c>
      <c r="L41" s="32">
        <v>1080</v>
      </c>
      <c r="M41" s="35">
        <v>12810</v>
      </c>
      <c r="N41" s="35">
        <f t="shared" si="2"/>
        <v>586490</v>
      </c>
    </row>
    <row r="42" spans="1:14" s="36" customFormat="1" ht="14.25" customHeight="1" x14ac:dyDescent="0.25">
      <c r="A42" s="35"/>
      <c r="B42" s="35"/>
      <c r="C42" s="35"/>
      <c r="D42" s="38" t="s">
        <v>1</v>
      </c>
      <c r="E42" s="32"/>
      <c r="F42" s="35"/>
      <c r="G42" s="39">
        <f t="shared" si="1"/>
        <v>819080</v>
      </c>
      <c r="H42" s="35"/>
      <c r="I42" s="32">
        <v>952</v>
      </c>
      <c r="J42" s="33" t="s">
        <v>101</v>
      </c>
      <c r="K42" s="34" t="s">
        <v>0</v>
      </c>
      <c r="L42" s="32">
        <v>80</v>
      </c>
      <c r="M42" s="35">
        <v>5850</v>
      </c>
      <c r="N42" s="35">
        <f t="shared" si="2"/>
        <v>599300</v>
      </c>
    </row>
    <row r="43" spans="1:14" s="36" customFormat="1" ht="14.25" customHeight="1" x14ac:dyDescent="0.25">
      <c r="A43" s="35"/>
      <c r="B43" s="35"/>
      <c r="C43" s="35"/>
      <c r="D43" s="38" t="s">
        <v>1</v>
      </c>
      <c r="E43" s="32"/>
      <c r="F43" s="35"/>
      <c r="G43" s="39">
        <f t="shared" si="1"/>
        <v>819080</v>
      </c>
      <c r="H43" s="35"/>
      <c r="I43" s="32">
        <v>953</v>
      </c>
      <c r="J43" s="33" t="s">
        <v>85</v>
      </c>
      <c r="K43" s="34" t="s">
        <v>0</v>
      </c>
      <c r="L43" s="32">
        <v>72</v>
      </c>
      <c r="M43" s="35">
        <v>580</v>
      </c>
      <c r="N43" s="35">
        <f t="shared" si="2"/>
        <v>605150</v>
      </c>
    </row>
    <row r="44" spans="1:14" s="36" customFormat="1" ht="14.25" customHeight="1" x14ac:dyDescent="0.25">
      <c r="A44" s="35"/>
      <c r="B44" s="35"/>
      <c r="C44" s="35"/>
      <c r="D44" s="38" t="s">
        <v>1</v>
      </c>
      <c r="E44" s="32"/>
      <c r="F44" s="35"/>
      <c r="G44" s="39">
        <f t="shared" si="1"/>
        <v>819080</v>
      </c>
      <c r="H44" s="35"/>
      <c r="I44" s="32">
        <v>954</v>
      </c>
      <c r="J44" s="33" t="s">
        <v>144</v>
      </c>
      <c r="K44" s="34" t="s">
        <v>0</v>
      </c>
      <c r="L44" s="32">
        <v>36</v>
      </c>
      <c r="M44" s="35">
        <v>5120</v>
      </c>
      <c r="N44" s="35">
        <f t="shared" si="2"/>
        <v>605730</v>
      </c>
    </row>
    <row r="45" spans="1:14" s="36" customFormat="1" ht="14.25" customHeight="1" x14ac:dyDescent="0.25">
      <c r="A45" s="35"/>
      <c r="B45" s="35"/>
      <c r="C45" s="35"/>
      <c r="D45" s="38" t="s">
        <v>1</v>
      </c>
      <c r="E45" s="32"/>
      <c r="F45" s="35"/>
      <c r="G45" s="39">
        <f t="shared" si="1"/>
        <v>819080</v>
      </c>
      <c r="H45" s="35"/>
      <c r="I45" s="32">
        <v>955</v>
      </c>
      <c r="J45" s="33" t="s">
        <v>98</v>
      </c>
      <c r="K45" s="34" t="s">
        <v>0</v>
      </c>
      <c r="L45" s="32">
        <v>34</v>
      </c>
      <c r="M45" s="35">
        <v>8060</v>
      </c>
      <c r="N45" s="35">
        <f t="shared" si="2"/>
        <v>610850</v>
      </c>
    </row>
    <row r="46" spans="1:14" s="36" customFormat="1" ht="14.25" customHeight="1" x14ac:dyDescent="0.25">
      <c r="A46" s="35"/>
      <c r="B46" s="35"/>
      <c r="C46" s="35"/>
      <c r="D46" s="38" t="s">
        <v>1</v>
      </c>
      <c r="E46" s="35"/>
      <c r="F46" s="35"/>
      <c r="G46" s="39">
        <f t="shared" si="1"/>
        <v>819080</v>
      </c>
      <c r="H46" s="35"/>
      <c r="I46" s="32">
        <v>956</v>
      </c>
      <c r="J46" s="33" t="s">
        <v>52</v>
      </c>
      <c r="K46" s="34" t="s">
        <v>0</v>
      </c>
      <c r="L46" s="35">
        <v>1105</v>
      </c>
      <c r="M46" s="35">
        <v>30930</v>
      </c>
      <c r="N46" s="35">
        <f t="shared" si="2"/>
        <v>618910</v>
      </c>
    </row>
    <row r="47" spans="1:14" ht="31.5" customHeight="1" x14ac:dyDescent="0.25">
      <c r="A47" s="60" t="s">
        <v>9</v>
      </c>
      <c r="B47" s="60"/>
      <c r="C47" s="61"/>
      <c r="D47" s="66">
        <f>G46+F46</f>
        <v>819080</v>
      </c>
      <c r="E47" s="66"/>
      <c r="F47" s="66"/>
      <c r="G47" s="66"/>
      <c r="H47" s="54" t="s">
        <v>10</v>
      </c>
      <c r="I47" s="54"/>
      <c r="J47" s="55"/>
      <c r="K47" s="66">
        <f>N46+M46</f>
        <v>649840</v>
      </c>
      <c r="L47" s="66"/>
      <c r="M47" s="66"/>
      <c r="N47" s="66"/>
    </row>
    <row r="48" spans="1:14" ht="26.25" customHeight="1" x14ac:dyDescent="0.25">
      <c r="A48" s="54" t="s">
        <v>10</v>
      </c>
      <c r="B48" s="54"/>
      <c r="C48" s="55"/>
      <c r="D48" s="67">
        <f>K47</f>
        <v>649840</v>
      </c>
      <c r="E48" s="67"/>
      <c r="F48" s="67"/>
      <c r="G48" s="67"/>
      <c r="H48" s="52"/>
      <c r="I48" s="52"/>
      <c r="J48" s="13"/>
      <c r="K48" s="53"/>
      <c r="L48" s="53"/>
      <c r="M48" s="53"/>
      <c r="N48" s="14"/>
    </row>
    <row r="49" spans="1:14" ht="31.5" customHeight="1" x14ac:dyDescent="0.25">
      <c r="A49" s="62" t="s">
        <v>11</v>
      </c>
      <c r="B49" s="62"/>
      <c r="C49" s="63"/>
      <c r="D49" s="71">
        <f>D47-D48</f>
        <v>169240</v>
      </c>
      <c r="E49" s="71"/>
      <c r="F49" s="71"/>
      <c r="G49" s="71"/>
      <c r="H49" s="52"/>
      <c r="I49" s="52"/>
      <c r="J49" s="13"/>
      <c r="K49" s="51"/>
      <c r="L49" s="51"/>
      <c r="M49" s="51"/>
      <c r="N49" s="15"/>
    </row>
    <row r="50" spans="1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1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1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  <row r="53" spans="1:14" ht="21" customHeight="1" x14ac:dyDescent="0.25">
      <c r="C53" s="7"/>
      <c r="D53" s="4"/>
      <c r="E53" s="4"/>
      <c r="F53" s="4"/>
      <c r="G53" s="4"/>
      <c r="J53" s="7"/>
      <c r="K53" s="4"/>
      <c r="L53" s="4"/>
      <c r="M53" s="4"/>
      <c r="N53" s="4"/>
    </row>
    <row r="54" spans="1:14" ht="21" customHeight="1" x14ac:dyDescent="0.25">
      <c r="C54" s="7"/>
      <c r="D54" s="4"/>
      <c r="E54" s="4"/>
      <c r="F54" s="4"/>
      <c r="G54" s="4"/>
      <c r="J54" s="7"/>
      <c r="K54" s="4"/>
      <c r="L54" s="4"/>
      <c r="M54" s="4"/>
      <c r="N54" s="4"/>
    </row>
    <row r="55" spans="1:14" ht="21" customHeight="1" x14ac:dyDescent="0.25">
      <c r="C55" s="7"/>
      <c r="D55" s="4"/>
      <c r="E55" s="4"/>
      <c r="F55" s="4"/>
      <c r="G55" s="4"/>
      <c r="J55" s="7"/>
      <c r="K55" s="4"/>
      <c r="L55" s="4"/>
      <c r="M55" s="4"/>
      <c r="N55" s="4"/>
    </row>
    <row r="56" spans="1:14" ht="21" customHeight="1" x14ac:dyDescent="0.25">
      <c r="C56" s="7"/>
      <c r="D56" s="4"/>
      <c r="E56" s="4"/>
      <c r="F56" s="4"/>
      <c r="G56" s="4"/>
      <c r="J56" s="7"/>
      <c r="K56" s="4"/>
      <c r="L56" s="4"/>
      <c r="M56" s="4"/>
      <c r="N56" s="4"/>
    </row>
    <row r="57" spans="1:14" ht="21" customHeight="1" x14ac:dyDescent="0.25">
      <c r="C57" s="7"/>
      <c r="D57" s="4"/>
      <c r="E57" s="4"/>
      <c r="F57" s="4"/>
      <c r="G57" s="4"/>
      <c r="J57" s="7"/>
      <c r="K57" s="4"/>
      <c r="L57" s="4"/>
      <c r="M57" s="4"/>
      <c r="N57" s="4"/>
    </row>
    <row r="58" spans="1:14" ht="21" customHeight="1" x14ac:dyDescent="0.25">
      <c r="C58" s="7"/>
      <c r="D58" s="4"/>
      <c r="E58" s="4"/>
      <c r="F58" s="4"/>
      <c r="G58" s="4"/>
      <c r="J58" s="7"/>
      <c r="K58" s="4"/>
      <c r="L58" s="4"/>
      <c r="M58" s="4"/>
      <c r="N58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49:C49"/>
    <mergeCell ref="D49:G49"/>
    <mergeCell ref="H49:I49"/>
    <mergeCell ref="K49:M49"/>
    <mergeCell ref="A4:E4"/>
    <mergeCell ref="A47:C47"/>
    <mergeCell ref="D47:G47"/>
    <mergeCell ref="H47:J47"/>
    <mergeCell ref="K47:N47"/>
    <mergeCell ref="A48:C48"/>
    <mergeCell ref="D48:G48"/>
    <mergeCell ref="H48:I48"/>
    <mergeCell ref="K48:M48"/>
  </mergeCells>
  <pageMargins left="0.33088235294117646" right="0" top="0.25" bottom="0" header="0.05" footer="0.05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N49"/>
  <sheetViews>
    <sheetView view="pageBreakPreview" topLeftCell="A16" zoomScale="115" zoomScaleNormal="145" zoomScaleSheetLayoutView="115" zoomScalePageLayoutView="85" workbookViewId="0">
      <selection activeCell="J33" sqref="J33:J35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 t="s">
        <v>123</v>
      </c>
      <c r="D3" s="70" t="s">
        <v>4</v>
      </c>
      <c r="E3" s="70"/>
      <c r="F3" s="17" t="s">
        <v>3</v>
      </c>
      <c r="G3" s="3">
        <v>45607</v>
      </c>
      <c r="H3" s="69" t="s">
        <v>8</v>
      </c>
      <c r="I3" s="69"/>
      <c r="J3" s="18" t="s">
        <v>123</v>
      </c>
      <c r="K3" s="56" t="s">
        <v>5</v>
      </c>
      <c r="L3" s="56"/>
      <c r="M3" s="17" t="s">
        <v>3</v>
      </c>
      <c r="N3" s="3">
        <v>45607</v>
      </c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(10)'!D49</f>
        <v>169240</v>
      </c>
      <c r="G4" s="8" t="s">
        <v>2</v>
      </c>
      <c r="H4" s="10"/>
      <c r="I4" s="10"/>
      <c r="J4" s="6" t="s">
        <v>18</v>
      </c>
      <c r="K4" s="9" t="s">
        <v>0</v>
      </c>
      <c r="L4" s="10"/>
      <c r="M4" s="10">
        <v>540</v>
      </c>
      <c r="N4" s="8" t="s">
        <v>2</v>
      </c>
    </row>
    <row r="5" spans="1:14" s="36" customFormat="1" ht="15.75" customHeight="1" x14ac:dyDescent="0.25">
      <c r="A5" s="32"/>
      <c r="B5" s="32"/>
      <c r="C5" s="33" t="s">
        <v>14</v>
      </c>
      <c r="D5" s="34" t="s">
        <v>1</v>
      </c>
      <c r="E5" s="32"/>
      <c r="F5" s="35">
        <v>3960</v>
      </c>
      <c r="G5" s="35">
        <f>F4</f>
        <v>169240</v>
      </c>
      <c r="H5" s="32"/>
      <c r="I5" s="32"/>
      <c r="J5" s="33" t="s">
        <v>19</v>
      </c>
      <c r="K5" s="34" t="s">
        <v>0</v>
      </c>
      <c r="L5" s="32"/>
      <c r="M5" s="35">
        <v>590</v>
      </c>
      <c r="N5" s="35">
        <f>M4</f>
        <v>540</v>
      </c>
    </row>
    <row r="6" spans="1:14" s="36" customFormat="1" ht="15.75" customHeight="1" x14ac:dyDescent="0.25">
      <c r="A6" s="32"/>
      <c r="B6" s="32"/>
      <c r="C6" s="33" t="s">
        <v>15</v>
      </c>
      <c r="D6" s="34" t="s">
        <v>1</v>
      </c>
      <c r="E6" s="32"/>
      <c r="F6" s="35">
        <v>90</v>
      </c>
      <c r="G6" s="35">
        <f>G5+F5</f>
        <v>173200</v>
      </c>
      <c r="H6" s="32"/>
      <c r="I6" s="32"/>
      <c r="J6" s="33" t="s">
        <v>17</v>
      </c>
      <c r="K6" s="34" t="s">
        <v>0</v>
      </c>
      <c r="L6" s="32"/>
      <c r="M6" s="35">
        <v>450</v>
      </c>
      <c r="N6" s="35">
        <f t="shared" ref="N6" si="0">N5+M5</f>
        <v>1130</v>
      </c>
    </row>
    <row r="7" spans="1:14" s="36" customFormat="1" ht="15.75" customHeight="1" x14ac:dyDescent="0.25">
      <c r="A7" s="32"/>
      <c r="B7" s="32"/>
      <c r="C7" s="33" t="s">
        <v>16</v>
      </c>
      <c r="D7" s="34" t="s">
        <v>1</v>
      </c>
      <c r="E7" s="32"/>
      <c r="F7" s="35">
        <v>90</v>
      </c>
      <c r="G7" s="35">
        <f t="shared" ref="G7:G37" si="1">G6+F6</f>
        <v>173290</v>
      </c>
      <c r="H7" s="32"/>
      <c r="I7" s="32">
        <v>957</v>
      </c>
      <c r="J7" s="33" t="s">
        <v>57</v>
      </c>
      <c r="K7" s="34" t="s">
        <v>0</v>
      </c>
      <c r="L7" s="32">
        <v>1088</v>
      </c>
      <c r="M7" s="35">
        <v>6090</v>
      </c>
      <c r="N7" s="35">
        <f>N6+M6</f>
        <v>1580</v>
      </c>
    </row>
    <row r="8" spans="1:14" s="36" customFormat="1" ht="15.75" customHeight="1" x14ac:dyDescent="0.25">
      <c r="A8" s="32"/>
      <c r="B8" s="32"/>
      <c r="C8" s="33" t="s">
        <v>204</v>
      </c>
      <c r="D8" s="34" t="s">
        <v>1</v>
      </c>
      <c r="E8" s="32"/>
      <c r="F8" s="35">
        <v>1900</v>
      </c>
      <c r="G8" s="35">
        <f t="shared" si="1"/>
        <v>173380</v>
      </c>
      <c r="H8" s="32"/>
      <c r="I8" s="32">
        <v>958</v>
      </c>
      <c r="J8" s="33" t="s">
        <v>94</v>
      </c>
      <c r="K8" s="34" t="s">
        <v>0</v>
      </c>
      <c r="L8" s="32">
        <v>1086</v>
      </c>
      <c r="M8" s="35">
        <v>5490</v>
      </c>
      <c r="N8" s="35">
        <f t="shared" ref="N8:N37" si="2">N7+M7</f>
        <v>7670</v>
      </c>
    </row>
    <row r="9" spans="1:14" s="36" customFormat="1" ht="15.75" customHeight="1" x14ac:dyDescent="0.25">
      <c r="A9" s="32"/>
      <c r="B9" s="32"/>
      <c r="C9" s="33" t="s">
        <v>234</v>
      </c>
      <c r="D9" s="34" t="s">
        <v>1</v>
      </c>
      <c r="E9" s="32"/>
      <c r="F9" s="35">
        <v>100000</v>
      </c>
      <c r="G9" s="35">
        <f t="shared" si="1"/>
        <v>175280</v>
      </c>
      <c r="H9" s="32"/>
      <c r="I9" s="32">
        <v>959</v>
      </c>
      <c r="J9" s="33" t="s">
        <v>31</v>
      </c>
      <c r="K9" s="34" t="s">
        <v>0</v>
      </c>
      <c r="L9" s="32">
        <v>1095</v>
      </c>
      <c r="M9" s="35">
        <v>11660</v>
      </c>
      <c r="N9" s="35">
        <f t="shared" si="2"/>
        <v>13160</v>
      </c>
    </row>
    <row r="10" spans="1:14" s="36" customFormat="1" ht="15.75" customHeight="1" x14ac:dyDescent="0.25">
      <c r="A10" s="32"/>
      <c r="B10" s="32"/>
      <c r="C10" s="33" t="s">
        <v>30</v>
      </c>
      <c r="D10" s="34" t="s">
        <v>1</v>
      </c>
      <c r="E10" s="32"/>
      <c r="F10" s="35">
        <v>8000</v>
      </c>
      <c r="G10" s="35">
        <f t="shared" si="1"/>
        <v>275280</v>
      </c>
      <c r="H10" s="32"/>
      <c r="I10" s="32">
        <v>960</v>
      </c>
      <c r="J10" s="33" t="s">
        <v>35</v>
      </c>
      <c r="K10" s="34" t="s">
        <v>0</v>
      </c>
      <c r="L10" s="32">
        <v>1092</v>
      </c>
      <c r="M10" s="35">
        <v>2430</v>
      </c>
      <c r="N10" s="35">
        <f t="shared" si="2"/>
        <v>24820</v>
      </c>
    </row>
    <row r="11" spans="1:14" s="36" customFormat="1" ht="15.75" customHeight="1" x14ac:dyDescent="0.25">
      <c r="A11" s="32"/>
      <c r="B11" s="32"/>
      <c r="C11" s="33" t="s">
        <v>94</v>
      </c>
      <c r="D11" s="34" t="s">
        <v>1</v>
      </c>
      <c r="E11" s="32"/>
      <c r="F11" s="35">
        <v>33420</v>
      </c>
      <c r="G11" s="35">
        <f t="shared" si="1"/>
        <v>283280</v>
      </c>
      <c r="H11" s="32"/>
      <c r="I11" s="32">
        <v>961</v>
      </c>
      <c r="J11" s="33" t="s">
        <v>58</v>
      </c>
      <c r="K11" s="34" t="s">
        <v>0</v>
      </c>
      <c r="L11" s="32">
        <v>1085</v>
      </c>
      <c r="M11" s="35">
        <v>9090</v>
      </c>
      <c r="N11" s="35">
        <f t="shared" si="2"/>
        <v>27250</v>
      </c>
    </row>
    <row r="12" spans="1:14" s="36" customFormat="1" ht="15.75" customHeight="1" x14ac:dyDescent="0.25">
      <c r="A12" s="32"/>
      <c r="B12" s="32"/>
      <c r="C12" s="33" t="s">
        <v>31</v>
      </c>
      <c r="D12" s="34" t="s">
        <v>1</v>
      </c>
      <c r="E12" s="32"/>
      <c r="F12" s="35">
        <v>58960</v>
      </c>
      <c r="G12" s="35">
        <f t="shared" si="1"/>
        <v>316700</v>
      </c>
      <c r="H12" s="32"/>
      <c r="I12" s="32">
        <v>962</v>
      </c>
      <c r="J12" s="33" t="s">
        <v>59</v>
      </c>
      <c r="K12" s="34" t="s">
        <v>0</v>
      </c>
      <c r="L12" s="32">
        <v>1089</v>
      </c>
      <c r="M12" s="35">
        <v>2230</v>
      </c>
      <c r="N12" s="35">
        <f t="shared" si="2"/>
        <v>36340</v>
      </c>
    </row>
    <row r="13" spans="1:14" s="36" customFormat="1" ht="15.75" customHeight="1" x14ac:dyDescent="0.25">
      <c r="A13" s="32"/>
      <c r="B13" s="32"/>
      <c r="C13" s="33" t="s">
        <v>58</v>
      </c>
      <c r="D13" s="34" t="s">
        <v>1</v>
      </c>
      <c r="E13" s="32"/>
      <c r="F13" s="35">
        <v>40000</v>
      </c>
      <c r="G13" s="35">
        <f t="shared" si="1"/>
        <v>375660</v>
      </c>
      <c r="H13" s="32"/>
      <c r="I13" s="32">
        <v>963</v>
      </c>
      <c r="J13" s="33" t="s">
        <v>233</v>
      </c>
      <c r="K13" s="34" t="s">
        <v>0</v>
      </c>
      <c r="L13" s="32">
        <v>1087</v>
      </c>
      <c r="M13" s="35">
        <v>11160</v>
      </c>
      <c r="N13" s="35">
        <f t="shared" si="2"/>
        <v>38570</v>
      </c>
    </row>
    <row r="14" spans="1:14" s="36" customFormat="1" ht="15.75" customHeight="1" x14ac:dyDescent="0.25">
      <c r="A14" s="32"/>
      <c r="B14" s="32"/>
      <c r="C14" s="33" t="s">
        <v>59</v>
      </c>
      <c r="D14" s="34" t="s">
        <v>1</v>
      </c>
      <c r="E14" s="32"/>
      <c r="F14" s="35">
        <v>25000</v>
      </c>
      <c r="G14" s="35">
        <f t="shared" si="1"/>
        <v>415660</v>
      </c>
      <c r="H14" s="32"/>
      <c r="I14" s="32">
        <v>964</v>
      </c>
      <c r="J14" s="33" t="s">
        <v>34</v>
      </c>
      <c r="K14" s="34" t="s">
        <v>0</v>
      </c>
      <c r="L14" s="32">
        <v>1097</v>
      </c>
      <c r="M14" s="35">
        <v>23670</v>
      </c>
      <c r="N14" s="35">
        <f t="shared" si="2"/>
        <v>49730</v>
      </c>
    </row>
    <row r="15" spans="1:14" s="36" customFormat="1" ht="15.75" customHeight="1" x14ac:dyDescent="0.25">
      <c r="A15" s="35"/>
      <c r="B15" s="35"/>
      <c r="C15" s="33" t="s">
        <v>33</v>
      </c>
      <c r="D15" s="34" t="s">
        <v>1</v>
      </c>
      <c r="E15" s="32"/>
      <c r="F15" s="35">
        <v>50000</v>
      </c>
      <c r="G15" s="35">
        <f t="shared" si="1"/>
        <v>440660</v>
      </c>
      <c r="H15" s="35"/>
      <c r="I15" s="32">
        <v>965</v>
      </c>
      <c r="J15" s="33" t="s">
        <v>86</v>
      </c>
      <c r="K15" s="34" t="s">
        <v>0</v>
      </c>
      <c r="L15" s="32">
        <v>1083</v>
      </c>
      <c r="M15" s="35">
        <v>1410</v>
      </c>
      <c r="N15" s="35">
        <f t="shared" si="2"/>
        <v>73400</v>
      </c>
    </row>
    <row r="16" spans="1:14" s="36" customFormat="1" ht="15.75" customHeight="1" x14ac:dyDescent="0.25">
      <c r="A16" s="35"/>
      <c r="B16" s="35"/>
      <c r="C16" s="33" t="s">
        <v>60</v>
      </c>
      <c r="D16" s="34" t="s">
        <v>1</v>
      </c>
      <c r="E16" s="32"/>
      <c r="F16" s="35">
        <v>20000</v>
      </c>
      <c r="G16" s="35">
        <f t="shared" si="1"/>
        <v>490660</v>
      </c>
      <c r="H16" s="35"/>
      <c r="I16" s="32">
        <v>966</v>
      </c>
      <c r="J16" s="33" t="s">
        <v>67</v>
      </c>
      <c r="K16" s="34" t="s">
        <v>0</v>
      </c>
      <c r="L16" s="32">
        <v>1090</v>
      </c>
      <c r="M16" s="35">
        <v>4170</v>
      </c>
      <c r="N16" s="35">
        <f t="shared" si="2"/>
        <v>74810</v>
      </c>
    </row>
    <row r="17" spans="1:14" s="36" customFormat="1" ht="15.75" customHeight="1" x14ac:dyDescent="0.25">
      <c r="A17" s="35"/>
      <c r="B17" s="35"/>
      <c r="C17" s="33" t="s">
        <v>124</v>
      </c>
      <c r="D17" s="34" t="s">
        <v>1</v>
      </c>
      <c r="E17" s="32"/>
      <c r="F17" s="35">
        <v>890</v>
      </c>
      <c r="G17" s="35">
        <f t="shared" si="1"/>
        <v>510660</v>
      </c>
      <c r="H17" s="35"/>
      <c r="I17" s="32">
        <v>967</v>
      </c>
      <c r="J17" s="33" t="s">
        <v>71</v>
      </c>
      <c r="K17" s="34" t="s">
        <v>0</v>
      </c>
      <c r="L17" s="32">
        <v>1094</v>
      </c>
      <c r="M17" s="35">
        <v>1900</v>
      </c>
      <c r="N17" s="35">
        <f t="shared" si="2"/>
        <v>78980</v>
      </c>
    </row>
    <row r="18" spans="1:14" s="36" customFormat="1" ht="15.75" customHeight="1" x14ac:dyDescent="0.25">
      <c r="A18" s="35"/>
      <c r="B18" s="35"/>
      <c r="C18" s="33" t="s">
        <v>130</v>
      </c>
      <c r="D18" s="34" t="s">
        <v>1</v>
      </c>
      <c r="E18" s="32"/>
      <c r="F18" s="35">
        <v>10000</v>
      </c>
      <c r="G18" s="35">
        <f t="shared" si="1"/>
        <v>511550</v>
      </c>
      <c r="H18" s="35"/>
      <c r="I18" s="32">
        <v>968</v>
      </c>
      <c r="J18" s="33" t="s">
        <v>100</v>
      </c>
      <c r="K18" s="34" t="s">
        <v>0</v>
      </c>
      <c r="L18" s="32">
        <v>1091</v>
      </c>
      <c r="M18" s="35">
        <v>2630</v>
      </c>
      <c r="N18" s="35">
        <f t="shared" si="2"/>
        <v>80880</v>
      </c>
    </row>
    <row r="19" spans="1:14" s="36" customFormat="1" ht="15.75" customHeight="1" x14ac:dyDescent="0.25">
      <c r="A19" s="35"/>
      <c r="B19" s="35"/>
      <c r="C19" s="33" t="s">
        <v>66</v>
      </c>
      <c r="D19" s="34" t="s">
        <v>1</v>
      </c>
      <c r="E19" s="32"/>
      <c r="F19" s="35">
        <v>20000</v>
      </c>
      <c r="G19" s="35">
        <f t="shared" si="1"/>
        <v>521550</v>
      </c>
      <c r="H19" s="35"/>
      <c r="I19" s="32">
        <v>969</v>
      </c>
      <c r="J19" s="33" t="s">
        <v>95</v>
      </c>
      <c r="K19" s="34" t="s">
        <v>0</v>
      </c>
      <c r="L19" s="32">
        <v>1081</v>
      </c>
      <c r="M19" s="35">
        <v>6100</v>
      </c>
      <c r="N19" s="35">
        <f t="shared" si="2"/>
        <v>83510</v>
      </c>
    </row>
    <row r="20" spans="1:14" s="36" customFormat="1" ht="15.75" customHeight="1" x14ac:dyDescent="0.25">
      <c r="A20" s="35"/>
      <c r="B20" s="35"/>
      <c r="C20" s="33" t="s">
        <v>88</v>
      </c>
      <c r="D20" s="34" t="s">
        <v>1</v>
      </c>
      <c r="E20" s="32"/>
      <c r="F20" s="35">
        <v>5250</v>
      </c>
      <c r="G20" s="35">
        <f t="shared" si="1"/>
        <v>541550</v>
      </c>
      <c r="H20" s="35"/>
      <c r="I20" s="32">
        <v>970</v>
      </c>
      <c r="J20" s="33" t="s">
        <v>38</v>
      </c>
      <c r="K20" s="34" t="s">
        <v>0</v>
      </c>
      <c r="L20" s="32">
        <v>1084</v>
      </c>
      <c r="M20" s="35">
        <v>4200</v>
      </c>
      <c r="N20" s="35">
        <f t="shared" si="2"/>
        <v>89610</v>
      </c>
    </row>
    <row r="21" spans="1:14" s="36" customFormat="1" ht="15.75" customHeight="1" x14ac:dyDescent="0.25">
      <c r="A21" s="35"/>
      <c r="B21" s="35"/>
      <c r="C21" s="33" t="s">
        <v>235</v>
      </c>
      <c r="D21" s="34" t="s">
        <v>1</v>
      </c>
      <c r="E21" s="32"/>
      <c r="F21" s="35">
        <v>20730</v>
      </c>
      <c r="G21" s="35">
        <f t="shared" si="1"/>
        <v>546800</v>
      </c>
      <c r="H21" s="35"/>
      <c r="I21" s="32">
        <v>971</v>
      </c>
      <c r="J21" s="33" t="s">
        <v>112</v>
      </c>
      <c r="K21" s="34" t="s">
        <v>0</v>
      </c>
      <c r="L21" s="32">
        <v>1082</v>
      </c>
      <c r="M21" s="35">
        <v>2590</v>
      </c>
      <c r="N21" s="35">
        <f t="shared" si="2"/>
        <v>93810</v>
      </c>
    </row>
    <row r="22" spans="1:14" s="36" customFormat="1" ht="15.75" customHeight="1" x14ac:dyDescent="0.25">
      <c r="A22" s="35"/>
      <c r="B22" s="35"/>
      <c r="C22" s="33" t="s">
        <v>63</v>
      </c>
      <c r="D22" s="34" t="s">
        <v>1</v>
      </c>
      <c r="E22" s="32"/>
      <c r="F22" s="35">
        <v>2540</v>
      </c>
      <c r="G22" s="35">
        <f t="shared" si="1"/>
        <v>567530</v>
      </c>
      <c r="H22" s="35"/>
      <c r="I22" s="32">
        <v>972</v>
      </c>
      <c r="J22" s="33" t="s">
        <v>144</v>
      </c>
      <c r="K22" s="34" t="s">
        <v>0</v>
      </c>
      <c r="L22" s="32">
        <v>1093</v>
      </c>
      <c r="M22" s="35">
        <v>650</v>
      </c>
      <c r="N22" s="35">
        <f t="shared" si="2"/>
        <v>96400</v>
      </c>
    </row>
    <row r="23" spans="1:14" s="36" customFormat="1" ht="15.75" customHeight="1" x14ac:dyDescent="0.25">
      <c r="A23" s="35"/>
      <c r="B23" s="35"/>
      <c r="C23" s="33" t="s">
        <v>146</v>
      </c>
      <c r="D23" s="34" t="s">
        <v>1</v>
      </c>
      <c r="E23" s="32"/>
      <c r="F23" s="35">
        <v>2510</v>
      </c>
      <c r="G23" s="35">
        <f t="shared" si="1"/>
        <v>570070</v>
      </c>
      <c r="H23" s="35"/>
      <c r="I23" s="32">
        <v>973</v>
      </c>
      <c r="J23" s="33" t="s">
        <v>52</v>
      </c>
      <c r="K23" s="34" t="s">
        <v>0</v>
      </c>
      <c r="L23" s="32">
        <v>1079</v>
      </c>
      <c r="M23" s="35">
        <v>3550</v>
      </c>
      <c r="N23" s="35">
        <f t="shared" si="2"/>
        <v>97050</v>
      </c>
    </row>
    <row r="24" spans="1:14" s="36" customFormat="1" ht="15.75" customHeight="1" x14ac:dyDescent="0.25">
      <c r="A24" s="35"/>
      <c r="B24" s="35"/>
      <c r="C24" s="33" t="s">
        <v>97</v>
      </c>
      <c r="D24" s="34" t="s">
        <v>1</v>
      </c>
      <c r="E24" s="32"/>
      <c r="F24" s="35">
        <v>4890</v>
      </c>
      <c r="G24" s="35">
        <f t="shared" si="1"/>
        <v>572580</v>
      </c>
      <c r="H24" s="35"/>
      <c r="I24" s="35"/>
      <c r="J24" s="33" t="s">
        <v>243</v>
      </c>
      <c r="K24" s="34" t="s">
        <v>0</v>
      </c>
      <c r="L24" s="32"/>
      <c r="M24" s="35">
        <v>300000</v>
      </c>
      <c r="N24" s="35">
        <f t="shared" si="2"/>
        <v>100600</v>
      </c>
    </row>
    <row r="25" spans="1:14" s="36" customFormat="1" ht="15.75" customHeight="1" x14ac:dyDescent="0.25">
      <c r="A25" s="35"/>
      <c r="B25" s="35"/>
      <c r="C25" s="33" t="s">
        <v>112</v>
      </c>
      <c r="D25" s="34" t="s">
        <v>1</v>
      </c>
      <c r="E25" s="32"/>
      <c r="F25" s="35">
        <v>5640</v>
      </c>
      <c r="G25" s="35">
        <f t="shared" si="1"/>
        <v>577470</v>
      </c>
      <c r="H25" s="35"/>
      <c r="I25" s="35"/>
      <c r="J25" s="35"/>
      <c r="K25" s="38" t="s">
        <v>0</v>
      </c>
      <c r="L25" s="32"/>
      <c r="M25" s="35"/>
      <c r="N25" s="49">
        <f t="shared" si="2"/>
        <v>400600</v>
      </c>
    </row>
    <row r="26" spans="1:14" s="36" customFormat="1" ht="15.75" customHeight="1" x14ac:dyDescent="0.25">
      <c r="A26" s="35"/>
      <c r="B26" s="35"/>
      <c r="C26" s="33" t="s">
        <v>71</v>
      </c>
      <c r="D26" s="34" t="s">
        <v>1</v>
      </c>
      <c r="E26" s="32"/>
      <c r="F26" s="35">
        <v>11370</v>
      </c>
      <c r="G26" s="35">
        <f t="shared" si="1"/>
        <v>583110</v>
      </c>
      <c r="H26" s="35"/>
      <c r="I26" s="35"/>
      <c r="J26" s="35"/>
      <c r="K26" s="38" t="s">
        <v>0</v>
      </c>
      <c r="L26" s="32"/>
      <c r="M26" s="35"/>
      <c r="N26" s="39">
        <f t="shared" si="2"/>
        <v>400600</v>
      </c>
    </row>
    <row r="27" spans="1:14" s="36" customFormat="1" ht="15.75" customHeight="1" x14ac:dyDescent="0.25">
      <c r="A27" s="35"/>
      <c r="B27" s="35"/>
      <c r="C27" s="33" t="s">
        <v>47</v>
      </c>
      <c r="D27" s="34" t="s">
        <v>1</v>
      </c>
      <c r="E27" s="32"/>
      <c r="F27" s="35">
        <v>2790</v>
      </c>
      <c r="G27" s="35">
        <f t="shared" si="1"/>
        <v>594480</v>
      </c>
      <c r="H27" s="35"/>
      <c r="I27" s="35"/>
      <c r="J27" s="32" t="s">
        <v>236</v>
      </c>
      <c r="K27" s="38" t="s">
        <v>0</v>
      </c>
      <c r="L27" s="32"/>
      <c r="M27" s="35"/>
      <c r="N27" s="39">
        <f t="shared" si="2"/>
        <v>400600</v>
      </c>
    </row>
    <row r="28" spans="1:14" s="36" customFormat="1" ht="15.75" customHeight="1" x14ac:dyDescent="0.25">
      <c r="A28" s="35"/>
      <c r="B28" s="35"/>
      <c r="C28" s="33" t="s">
        <v>99</v>
      </c>
      <c r="D28" s="34" t="s">
        <v>1</v>
      </c>
      <c r="E28" s="32"/>
      <c r="F28" s="35">
        <v>2430</v>
      </c>
      <c r="G28" s="35">
        <f t="shared" si="1"/>
        <v>597270</v>
      </c>
      <c r="H28" s="35"/>
      <c r="I28" s="35"/>
      <c r="J28" s="32" t="s">
        <v>237</v>
      </c>
      <c r="K28" s="38" t="s">
        <v>0</v>
      </c>
      <c r="L28" s="32"/>
      <c r="M28" s="35"/>
      <c r="N28" s="39">
        <f t="shared" si="2"/>
        <v>400600</v>
      </c>
    </row>
    <row r="29" spans="1:14" s="36" customFormat="1" ht="15.75" customHeight="1" x14ac:dyDescent="0.25">
      <c r="A29" s="35"/>
      <c r="B29" s="35"/>
      <c r="C29" s="33" t="s">
        <v>49</v>
      </c>
      <c r="D29" s="34" t="s">
        <v>1</v>
      </c>
      <c r="E29" s="32"/>
      <c r="F29" s="35">
        <v>10280</v>
      </c>
      <c r="G29" s="35">
        <f t="shared" si="1"/>
        <v>599700</v>
      </c>
      <c r="H29" s="35"/>
      <c r="I29" s="35"/>
      <c r="J29" s="32" t="s">
        <v>238</v>
      </c>
      <c r="K29" s="38" t="s">
        <v>0</v>
      </c>
      <c r="L29" s="32"/>
      <c r="M29" s="35"/>
      <c r="N29" s="39">
        <f t="shared" si="2"/>
        <v>400600</v>
      </c>
    </row>
    <row r="30" spans="1:14" s="36" customFormat="1" ht="15.75" customHeight="1" x14ac:dyDescent="0.25">
      <c r="A30" s="35"/>
      <c r="B30" s="35"/>
      <c r="C30" s="33" t="s">
        <v>222</v>
      </c>
      <c r="D30" s="34" t="s">
        <v>1</v>
      </c>
      <c r="E30" s="32"/>
      <c r="F30" s="35">
        <v>3460</v>
      </c>
      <c r="G30" s="35">
        <f t="shared" si="1"/>
        <v>609980</v>
      </c>
      <c r="H30" s="35"/>
      <c r="I30" s="35"/>
      <c r="J30" s="40" t="s">
        <v>239</v>
      </c>
      <c r="K30" s="38" t="s">
        <v>0</v>
      </c>
      <c r="L30" s="32"/>
      <c r="M30" s="35"/>
      <c r="N30" s="39">
        <f t="shared" si="2"/>
        <v>400600</v>
      </c>
    </row>
    <row r="31" spans="1:14" s="36" customFormat="1" ht="15.75" customHeight="1" x14ac:dyDescent="0.25">
      <c r="A31" s="35"/>
      <c r="B31" s="35"/>
      <c r="C31" s="33" t="s">
        <v>51</v>
      </c>
      <c r="D31" s="34" t="s">
        <v>1</v>
      </c>
      <c r="E31" s="32"/>
      <c r="F31" s="35">
        <v>3520</v>
      </c>
      <c r="G31" s="35">
        <f t="shared" si="1"/>
        <v>613440</v>
      </c>
      <c r="H31" s="35"/>
      <c r="I31" s="35"/>
      <c r="J31" s="35"/>
      <c r="K31" s="38" t="s">
        <v>0</v>
      </c>
      <c r="L31" s="32"/>
      <c r="M31" s="35"/>
      <c r="N31" s="39">
        <f t="shared" si="2"/>
        <v>400600</v>
      </c>
    </row>
    <row r="32" spans="1:14" s="36" customFormat="1" ht="15.75" customHeight="1" x14ac:dyDescent="0.25">
      <c r="A32" s="35"/>
      <c r="B32" s="35"/>
      <c r="C32" s="33" t="s">
        <v>95</v>
      </c>
      <c r="D32" s="34" t="s">
        <v>1</v>
      </c>
      <c r="E32" s="32"/>
      <c r="F32" s="35">
        <v>2970</v>
      </c>
      <c r="G32" s="35">
        <f t="shared" si="1"/>
        <v>616960</v>
      </c>
      <c r="H32" s="35"/>
      <c r="I32" s="35"/>
      <c r="J32" s="35"/>
      <c r="K32" s="38" t="s">
        <v>0</v>
      </c>
      <c r="L32" s="32"/>
      <c r="M32" s="35"/>
      <c r="N32" s="39">
        <f t="shared" si="2"/>
        <v>400600</v>
      </c>
    </row>
    <row r="33" spans="1:14" s="36" customFormat="1" ht="15.75" customHeight="1" x14ac:dyDescent="0.25">
      <c r="A33" s="35"/>
      <c r="B33" s="35"/>
      <c r="C33" s="33" t="s">
        <v>86</v>
      </c>
      <c r="D33" s="34" t="s">
        <v>1</v>
      </c>
      <c r="E33" s="32"/>
      <c r="F33" s="35">
        <v>3090</v>
      </c>
      <c r="G33" s="35">
        <f t="shared" si="1"/>
        <v>619930</v>
      </c>
      <c r="H33" s="35"/>
      <c r="I33" s="35"/>
      <c r="J33" s="32" t="s">
        <v>240</v>
      </c>
      <c r="K33" s="38" t="s">
        <v>0</v>
      </c>
      <c r="L33" s="32"/>
      <c r="M33" s="35"/>
      <c r="N33" s="39">
        <f t="shared" si="2"/>
        <v>400600</v>
      </c>
    </row>
    <row r="34" spans="1:14" s="36" customFormat="1" ht="15.75" customHeight="1" x14ac:dyDescent="0.25">
      <c r="A34" s="35"/>
      <c r="B34" s="35"/>
      <c r="C34" s="33" t="s">
        <v>144</v>
      </c>
      <c r="D34" s="34" t="s">
        <v>1</v>
      </c>
      <c r="E34" s="32"/>
      <c r="F34" s="35">
        <v>5120</v>
      </c>
      <c r="G34" s="35">
        <f t="shared" si="1"/>
        <v>623020</v>
      </c>
      <c r="H34" s="35"/>
      <c r="I34" s="35"/>
      <c r="J34" s="46" t="s">
        <v>241</v>
      </c>
      <c r="K34" s="38" t="s">
        <v>0</v>
      </c>
      <c r="L34" s="32"/>
      <c r="M34" s="35"/>
      <c r="N34" s="39">
        <f t="shared" si="2"/>
        <v>400600</v>
      </c>
    </row>
    <row r="35" spans="1:14" s="36" customFormat="1" ht="15.75" customHeight="1" x14ac:dyDescent="0.25">
      <c r="A35" s="35"/>
      <c r="B35" s="35"/>
      <c r="C35" s="33" t="s">
        <v>205</v>
      </c>
      <c r="D35" s="34" t="s">
        <v>1</v>
      </c>
      <c r="E35" s="32"/>
      <c r="F35" s="35">
        <v>6480</v>
      </c>
      <c r="G35" s="35">
        <f t="shared" si="1"/>
        <v>628140</v>
      </c>
      <c r="H35" s="35"/>
      <c r="I35" s="35"/>
      <c r="J35" s="47" t="s">
        <v>242</v>
      </c>
      <c r="K35" s="38" t="s">
        <v>0</v>
      </c>
      <c r="L35" s="32"/>
      <c r="M35" s="35"/>
      <c r="N35" s="39">
        <f t="shared" si="2"/>
        <v>400600</v>
      </c>
    </row>
    <row r="36" spans="1:14" s="36" customFormat="1" ht="15.75" customHeight="1" x14ac:dyDescent="0.25">
      <c r="A36" s="35"/>
      <c r="B36" s="35"/>
      <c r="C36" s="33" t="s">
        <v>46</v>
      </c>
      <c r="D36" s="34" t="s">
        <v>1</v>
      </c>
      <c r="E36" s="32"/>
      <c r="F36" s="35">
        <v>6690</v>
      </c>
      <c r="G36" s="35">
        <f t="shared" si="1"/>
        <v>634620</v>
      </c>
      <c r="H36" s="35"/>
      <c r="I36" s="35"/>
      <c r="J36" s="35"/>
      <c r="K36" s="38" t="s">
        <v>0</v>
      </c>
      <c r="L36" s="32"/>
      <c r="M36" s="35"/>
      <c r="N36" s="39">
        <f t="shared" si="2"/>
        <v>400600</v>
      </c>
    </row>
    <row r="37" spans="1:14" s="36" customFormat="1" ht="15.75" customHeight="1" x14ac:dyDescent="0.25">
      <c r="A37" s="35"/>
      <c r="B37" s="35"/>
      <c r="C37" s="33" t="s">
        <v>52</v>
      </c>
      <c r="D37" s="34" t="s">
        <v>1</v>
      </c>
      <c r="E37" s="35"/>
      <c r="F37" s="35">
        <v>3550</v>
      </c>
      <c r="G37" s="35">
        <f t="shared" si="1"/>
        <v>641310</v>
      </c>
      <c r="H37" s="35"/>
      <c r="I37" s="35"/>
      <c r="J37" s="35"/>
      <c r="K37" s="38" t="s">
        <v>0</v>
      </c>
      <c r="L37" s="35"/>
      <c r="M37" s="35"/>
      <c r="N37" s="39">
        <f t="shared" si="2"/>
        <v>400600</v>
      </c>
    </row>
    <row r="38" spans="1:14" ht="31.5" customHeight="1" x14ac:dyDescent="0.25">
      <c r="A38" s="60" t="s">
        <v>9</v>
      </c>
      <c r="B38" s="60"/>
      <c r="C38" s="61"/>
      <c r="D38" s="66">
        <f>G37+F37</f>
        <v>644860</v>
      </c>
      <c r="E38" s="66"/>
      <c r="F38" s="66"/>
      <c r="G38" s="66"/>
      <c r="H38" s="54" t="s">
        <v>10</v>
      </c>
      <c r="I38" s="54"/>
      <c r="J38" s="55"/>
      <c r="K38" s="66">
        <f>N37+M37</f>
        <v>400600</v>
      </c>
      <c r="L38" s="66"/>
      <c r="M38" s="66"/>
      <c r="N38" s="66"/>
    </row>
    <row r="39" spans="1:14" ht="30.75" customHeight="1" x14ac:dyDescent="0.25">
      <c r="A39" s="54" t="s">
        <v>10</v>
      </c>
      <c r="B39" s="54"/>
      <c r="C39" s="55"/>
      <c r="D39" s="67">
        <f>K38</f>
        <v>400600</v>
      </c>
      <c r="E39" s="67"/>
      <c r="F39" s="67"/>
      <c r="G39" s="67"/>
      <c r="H39" s="52"/>
      <c r="I39" s="52"/>
      <c r="J39" s="13"/>
      <c r="K39" s="53"/>
      <c r="L39" s="53"/>
      <c r="M39" s="53"/>
      <c r="N39" s="14"/>
    </row>
    <row r="40" spans="1:14" ht="36.75" customHeight="1" x14ac:dyDescent="0.25">
      <c r="A40" s="62" t="s">
        <v>11</v>
      </c>
      <c r="B40" s="62"/>
      <c r="C40" s="63"/>
      <c r="D40" s="71">
        <f>D38-D39</f>
        <v>244260</v>
      </c>
      <c r="E40" s="71"/>
      <c r="F40" s="71"/>
      <c r="G40" s="71"/>
      <c r="H40" s="52"/>
      <c r="I40" s="52"/>
      <c r="J40" s="13"/>
      <c r="K40" s="51"/>
      <c r="L40" s="51"/>
      <c r="M40" s="51"/>
      <c r="N40" s="15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40:C40"/>
    <mergeCell ref="D40:G40"/>
    <mergeCell ref="H40:I40"/>
    <mergeCell ref="K40:M40"/>
    <mergeCell ref="A4:E4"/>
    <mergeCell ref="A38:C38"/>
    <mergeCell ref="D38:G38"/>
    <mergeCell ref="H38:J38"/>
    <mergeCell ref="K38:N38"/>
    <mergeCell ref="A39:C39"/>
    <mergeCell ref="D39:G39"/>
    <mergeCell ref="H39:I39"/>
    <mergeCell ref="K39:M39"/>
  </mergeCells>
  <pageMargins left="0.33088235294117646" right="0" top="0.25" bottom="0" header="0.05" footer="0.05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N47"/>
  <sheetViews>
    <sheetView tabSelected="1" view="pageBreakPreview" zoomScale="115" zoomScaleNormal="145" zoomScaleSheetLayoutView="115" zoomScalePageLayoutView="85" workbookViewId="0">
      <selection activeCell="C7" sqref="C7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 t="s">
        <v>137</v>
      </c>
      <c r="D3" s="70" t="s">
        <v>4</v>
      </c>
      <c r="E3" s="70"/>
      <c r="F3" s="17" t="s">
        <v>3</v>
      </c>
      <c r="G3" s="3">
        <v>45608</v>
      </c>
      <c r="H3" s="69" t="s">
        <v>8</v>
      </c>
      <c r="I3" s="69"/>
      <c r="J3" s="18" t="s">
        <v>137</v>
      </c>
      <c r="K3" s="56" t="s">
        <v>5</v>
      </c>
      <c r="L3" s="56"/>
      <c r="M3" s="17" t="s">
        <v>3</v>
      </c>
      <c r="N3" s="3">
        <v>45608</v>
      </c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(11)'!D40</f>
        <v>244260</v>
      </c>
      <c r="G4" s="8" t="s">
        <v>2</v>
      </c>
      <c r="H4" s="10"/>
      <c r="I4" s="10"/>
      <c r="J4" s="6" t="s">
        <v>18</v>
      </c>
      <c r="K4" s="9" t="s">
        <v>0</v>
      </c>
      <c r="L4" s="10"/>
      <c r="M4" s="10">
        <v>170</v>
      </c>
      <c r="N4" s="8" t="s">
        <v>2</v>
      </c>
    </row>
    <row r="5" spans="1:14" s="11" customFormat="1" ht="18" customHeight="1" x14ac:dyDescent="0.25">
      <c r="A5" s="8"/>
      <c r="B5" s="8"/>
      <c r="C5" s="33" t="s">
        <v>14</v>
      </c>
      <c r="D5" s="9" t="s">
        <v>1</v>
      </c>
      <c r="E5" s="8"/>
      <c r="F5" s="10">
        <v>11000</v>
      </c>
      <c r="G5" s="10">
        <f>F4</f>
        <v>244260</v>
      </c>
      <c r="H5" s="8"/>
      <c r="I5" s="8"/>
      <c r="J5" s="33" t="s">
        <v>19</v>
      </c>
      <c r="K5" s="9" t="s">
        <v>0</v>
      </c>
      <c r="L5" s="8"/>
      <c r="M5" s="10">
        <v>690</v>
      </c>
      <c r="N5" s="10">
        <f>M4</f>
        <v>170</v>
      </c>
    </row>
    <row r="6" spans="1:14" s="11" customFormat="1" ht="18" customHeight="1" x14ac:dyDescent="0.25">
      <c r="A6" s="8"/>
      <c r="B6" s="8"/>
      <c r="C6" s="33" t="s">
        <v>15</v>
      </c>
      <c r="D6" s="9" t="s">
        <v>1</v>
      </c>
      <c r="E6" s="8"/>
      <c r="F6" s="10">
        <v>90</v>
      </c>
      <c r="G6" s="10">
        <f>G5+F5</f>
        <v>255260</v>
      </c>
      <c r="H6" s="8"/>
      <c r="I6" s="8"/>
      <c r="J6" s="33" t="s">
        <v>17</v>
      </c>
      <c r="K6" s="9" t="s">
        <v>0</v>
      </c>
      <c r="L6" s="8"/>
      <c r="M6" s="10">
        <v>1030</v>
      </c>
      <c r="N6" s="10">
        <f t="shared" ref="N6" si="0">N5+M5</f>
        <v>860</v>
      </c>
    </row>
    <row r="7" spans="1:14" s="11" customFormat="1" ht="18" customHeight="1" x14ac:dyDescent="0.25">
      <c r="A7" s="8"/>
      <c r="B7" s="8"/>
      <c r="C7" s="33" t="s">
        <v>16</v>
      </c>
      <c r="D7" s="9" t="s">
        <v>1</v>
      </c>
      <c r="E7" s="8"/>
      <c r="F7" s="10">
        <v>90</v>
      </c>
      <c r="G7" s="10">
        <f t="shared" ref="G7:G33" si="1">G6+F6</f>
        <v>255350</v>
      </c>
      <c r="H7" s="8"/>
      <c r="I7" s="8">
        <v>975</v>
      </c>
      <c r="J7" s="6" t="s">
        <v>125</v>
      </c>
      <c r="K7" s="9" t="s">
        <v>0</v>
      </c>
      <c r="L7" s="8">
        <v>1172</v>
      </c>
      <c r="M7" s="10">
        <v>4680</v>
      </c>
      <c r="N7" s="10">
        <f>N6+M6</f>
        <v>1890</v>
      </c>
    </row>
    <row r="8" spans="1:14" s="11" customFormat="1" ht="18" customHeight="1" x14ac:dyDescent="0.25">
      <c r="A8" s="8"/>
      <c r="B8" s="8"/>
      <c r="C8" s="6" t="s">
        <v>29</v>
      </c>
      <c r="D8" s="9" t="s">
        <v>1</v>
      </c>
      <c r="E8" s="8"/>
      <c r="F8" s="10">
        <v>20000</v>
      </c>
      <c r="G8" s="10">
        <f t="shared" si="1"/>
        <v>255440</v>
      </c>
      <c r="H8" s="8"/>
      <c r="I8" s="8">
        <v>976</v>
      </c>
      <c r="J8" s="6" t="s">
        <v>94</v>
      </c>
      <c r="K8" s="9" t="s">
        <v>0</v>
      </c>
      <c r="L8" s="8">
        <v>1163</v>
      </c>
      <c r="M8" s="10">
        <v>1430</v>
      </c>
      <c r="N8" s="10">
        <f t="shared" ref="N8:N35" si="2">N7+M7</f>
        <v>6570</v>
      </c>
    </row>
    <row r="9" spans="1:14" s="11" customFormat="1" ht="18" customHeight="1" x14ac:dyDescent="0.25">
      <c r="A9" s="8"/>
      <c r="B9" s="8"/>
      <c r="C9" s="6" t="s">
        <v>30</v>
      </c>
      <c r="D9" s="9" t="s">
        <v>1</v>
      </c>
      <c r="E9" s="8"/>
      <c r="F9" s="10">
        <v>16500</v>
      </c>
      <c r="G9" s="10">
        <f t="shared" si="1"/>
        <v>275440</v>
      </c>
      <c r="H9" s="8"/>
      <c r="I9" s="8">
        <v>977</v>
      </c>
      <c r="J9" s="6" t="s">
        <v>31</v>
      </c>
      <c r="K9" s="9" t="s">
        <v>0</v>
      </c>
      <c r="L9" s="8">
        <v>1171</v>
      </c>
      <c r="M9" s="10">
        <v>39790</v>
      </c>
      <c r="N9" s="10">
        <f t="shared" si="2"/>
        <v>8000</v>
      </c>
    </row>
    <row r="10" spans="1:14" s="11" customFormat="1" ht="18" customHeight="1" x14ac:dyDescent="0.25">
      <c r="A10" s="8"/>
      <c r="B10" s="8"/>
      <c r="C10" s="6" t="s">
        <v>35</v>
      </c>
      <c r="D10" s="9" t="s">
        <v>1</v>
      </c>
      <c r="E10" s="8"/>
      <c r="F10" s="10">
        <v>40000</v>
      </c>
      <c r="G10" s="10">
        <f t="shared" si="1"/>
        <v>291940</v>
      </c>
      <c r="H10" s="8"/>
      <c r="I10" s="8">
        <v>978</v>
      </c>
      <c r="J10" s="6" t="s">
        <v>46</v>
      </c>
      <c r="K10" s="9" t="s">
        <v>0</v>
      </c>
      <c r="L10" s="8">
        <v>1153</v>
      </c>
      <c r="M10" s="10">
        <v>3470</v>
      </c>
      <c r="N10" s="10">
        <f t="shared" si="2"/>
        <v>47790</v>
      </c>
    </row>
    <row r="11" spans="1:14" s="11" customFormat="1" ht="18" customHeight="1" x14ac:dyDescent="0.25">
      <c r="A11" s="8"/>
      <c r="B11" s="8"/>
      <c r="C11" s="6" t="s">
        <v>59</v>
      </c>
      <c r="D11" s="9" t="s">
        <v>1</v>
      </c>
      <c r="E11" s="8"/>
      <c r="F11" s="10">
        <v>30000</v>
      </c>
      <c r="G11" s="10">
        <f t="shared" si="1"/>
        <v>331940</v>
      </c>
      <c r="H11" s="8"/>
      <c r="I11" s="8">
        <v>979</v>
      </c>
      <c r="J11" s="6" t="s">
        <v>58</v>
      </c>
      <c r="K11" s="9" t="s">
        <v>0</v>
      </c>
      <c r="L11" s="8">
        <v>1170</v>
      </c>
      <c r="M11" s="10">
        <v>30850</v>
      </c>
      <c r="N11" s="10">
        <f t="shared" si="2"/>
        <v>51260</v>
      </c>
    </row>
    <row r="12" spans="1:14" s="11" customFormat="1" ht="18" customHeight="1" x14ac:dyDescent="0.25">
      <c r="A12" s="8"/>
      <c r="B12" s="8"/>
      <c r="C12" s="6" t="s">
        <v>33</v>
      </c>
      <c r="D12" s="9" t="s">
        <v>1</v>
      </c>
      <c r="E12" s="8"/>
      <c r="F12" s="10">
        <v>30000</v>
      </c>
      <c r="G12" s="10">
        <f t="shared" si="1"/>
        <v>361940</v>
      </c>
      <c r="H12" s="8"/>
      <c r="I12" s="8">
        <v>980</v>
      </c>
      <c r="J12" s="6" t="s">
        <v>36</v>
      </c>
      <c r="K12" s="9" t="s">
        <v>0</v>
      </c>
      <c r="L12" s="8">
        <v>1173</v>
      </c>
      <c r="M12" s="10">
        <v>3480</v>
      </c>
      <c r="N12" s="10">
        <f t="shared" si="2"/>
        <v>82110</v>
      </c>
    </row>
    <row r="13" spans="1:14" s="11" customFormat="1" ht="18" customHeight="1" x14ac:dyDescent="0.25">
      <c r="A13" s="8"/>
      <c r="B13" s="8"/>
      <c r="C13" s="6" t="s">
        <v>124</v>
      </c>
      <c r="D13" s="9" t="s">
        <v>1</v>
      </c>
      <c r="E13" s="8"/>
      <c r="F13" s="10">
        <v>10000</v>
      </c>
      <c r="G13" s="10">
        <f t="shared" si="1"/>
        <v>391940</v>
      </c>
      <c r="H13" s="8"/>
      <c r="I13" s="8">
        <v>981</v>
      </c>
      <c r="J13" s="6" t="s">
        <v>59</v>
      </c>
      <c r="K13" s="9" t="s">
        <v>0</v>
      </c>
      <c r="L13" s="8">
        <v>1160</v>
      </c>
      <c r="M13" s="10">
        <v>44820</v>
      </c>
      <c r="N13" s="10">
        <f t="shared" si="2"/>
        <v>85590</v>
      </c>
    </row>
    <row r="14" spans="1:14" s="11" customFormat="1" ht="18" customHeight="1" x14ac:dyDescent="0.25">
      <c r="A14" s="8"/>
      <c r="B14" s="8"/>
      <c r="C14" s="6" t="s">
        <v>91</v>
      </c>
      <c r="D14" s="9" t="s">
        <v>1</v>
      </c>
      <c r="E14" s="8"/>
      <c r="F14" s="10">
        <v>22000</v>
      </c>
      <c r="G14" s="10">
        <f t="shared" si="1"/>
        <v>401940</v>
      </c>
      <c r="H14" s="8"/>
      <c r="I14" s="8">
        <v>982</v>
      </c>
      <c r="J14" s="6" t="s">
        <v>33</v>
      </c>
      <c r="K14" s="9" t="s">
        <v>0</v>
      </c>
      <c r="L14" s="8">
        <v>1164</v>
      </c>
      <c r="M14" s="10">
        <v>42870</v>
      </c>
      <c r="N14" s="10">
        <f t="shared" si="2"/>
        <v>130410</v>
      </c>
    </row>
    <row r="15" spans="1:14" s="11" customFormat="1" ht="18" customHeight="1" x14ac:dyDescent="0.25">
      <c r="A15" s="10"/>
      <c r="B15" s="10"/>
      <c r="C15" s="6" t="s">
        <v>223</v>
      </c>
      <c r="D15" s="9" t="s">
        <v>1</v>
      </c>
      <c r="E15" s="8"/>
      <c r="F15" s="10">
        <v>730</v>
      </c>
      <c r="G15" s="10">
        <f t="shared" si="1"/>
        <v>423940</v>
      </c>
      <c r="H15" s="10"/>
      <c r="I15" s="8">
        <v>983</v>
      </c>
      <c r="J15" s="6" t="s">
        <v>34</v>
      </c>
      <c r="K15" s="9" t="s">
        <v>0</v>
      </c>
      <c r="L15" s="8">
        <v>1159</v>
      </c>
      <c r="M15" s="10">
        <v>13990</v>
      </c>
      <c r="N15" s="10">
        <f t="shared" si="2"/>
        <v>173280</v>
      </c>
    </row>
    <row r="16" spans="1:14" s="11" customFormat="1" ht="18" customHeight="1" x14ac:dyDescent="0.25">
      <c r="A16" s="10"/>
      <c r="B16" s="10"/>
      <c r="C16" s="6" t="s">
        <v>224</v>
      </c>
      <c r="D16" s="9" t="s">
        <v>1</v>
      </c>
      <c r="E16" s="8"/>
      <c r="F16" s="10">
        <v>2160</v>
      </c>
      <c r="G16" s="10">
        <f t="shared" si="1"/>
        <v>424670</v>
      </c>
      <c r="H16" s="10"/>
      <c r="I16" s="8">
        <v>984</v>
      </c>
      <c r="J16" s="6" t="s">
        <v>201</v>
      </c>
      <c r="K16" s="9" t="s">
        <v>0</v>
      </c>
      <c r="L16" s="8">
        <v>1175</v>
      </c>
      <c r="M16" s="10">
        <v>2440</v>
      </c>
      <c r="N16" s="10">
        <f t="shared" si="2"/>
        <v>187270</v>
      </c>
    </row>
    <row r="17" spans="1:14" s="11" customFormat="1" ht="18" customHeight="1" x14ac:dyDescent="0.25">
      <c r="A17" s="10"/>
      <c r="B17" s="10"/>
      <c r="C17" s="6" t="s">
        <v>225</v>
      </c>
      <c r="D17" s="9" t="s">
        <v>1</v>
      </c>
      <c r="E17" s="8"/>
      <c r="F17" s="10">
        <v>12810</v>
      </c>
      <c r="G17" s="10">
        <f t="shared" si="1"/>
        <v>426830</v>
      </c>
      <c r="H17" s="10"/>
      <c r="I17" s="8">
        <v>985</v>
      </c>
      <c r="J17" s="6" t="s">
        <v>86</v>
      </c>
      <c r="K17" s="9" t="s">
        <v>0</v>
      </c>
      <c r="L17" s="8">
        <v>1151</v>
      </c>
      <c r="M17" s="10">
        <v>2530</v>
      </c>
      <c r="N17" s="10">
        <f t="shared" si="2"/>
        <v>189710</v>
      </c>
    </row>
    <row r="18" spans="1:14" s="11" customFormat="1" ht="18" customHeight="1" x14ac:dyDescent="0.25">
      <c r="A18" s="10"/>
      <c r="B18" s="10"/>
      <c r="C18" s="6" t="s">
        <v>101</v>
      </c>
      <c r="D18" s="9" t="s">
        <v>1</v>
      </c>
      <c r="E18" s="8"/>
      <c r="F18" s="10">
        <v>5850</v>
      </c>
      <c r="G18" s="10">
        <f t="shared" si="1"/>
        <v>439640</v>
      </c>
      <c r="H18" s="10"/>
      <c r="I18" s="8">
        <v>986</v>
      </c>
      <c r="J18" s="6" t="s">
        <v>145</v>
      </c>
      <c r="K18" s="9" t="s">
        <v>0</v>
      </c>
      <c r="L18" s="8">
        <v>1161</v>
      </c>
      <c r="M18" s="10">
        <v>18040</v>
      </c>
      <c r="N18" s="10">
        <f t="shared" si="2"/>
        <v>192240</v>
      </c>
    </row>
    <row r="19" spans="1:14" s="11" customFormat="1" ht="18" customHeight="1" x14ac:dyDescent="0.25">
      <c r="A19" s="10"/>
      <c r="B19" s="10"/>
      <c r="C19" s="6" t="s">
        <v>85</v>
      </c>
      <c r="D19" s="9" t="s">
        <v>1</v>
      </c>
      <c r="E19" s="8"/>
      <c r="F19" s="10">
        <v>580</v>
      </c>
      <c r="G19" s="10">
        <f t="shared" si="1"/>
        <v>445490</v>
      </c>
      <c r="H19" s="10"/>
      <c r="I19" s="8">
        <v>987</v>
      </c>
      <c r="J19" s="6" t="s">
        <v>244</v>
      </c>
      <c r="K19" s="9" t="s">
        <v>0</v>
      </c>
      <c r="L19" s="8">
        <v>1158</v>
      </c>
      <c r="M19" s="10">
        <v>3060</v>
      </c>
      <c r="N19" s="10">
        <f t="shared" si="2"/>
        <v>210280</v>
      </c>
    </row>
    <row r="20" spans="1:14" s="11" customFormat="1" ht="18" customHeight="1" x14ac:dyDescent="0.25">
      <c r="A20" s="10"/>
      <c r="B20" s="10"/>
      <c r="C20" s="6" t="s">
        <v>98</v>
      </c>
      <c r="D20" s="9" t="s">
        <v>1</v>
      </c>
      <c r="E20" s="8"/>
      <c r="F20" s="10">
        <v>8060</v>
      </c>
      <c r="G20" s="10">
        <f t="shared" si="1"/>
        <v>446070</v>
      </c>
      <c r="H20" s="10"/>
      <c r="I20" s="8">
        <v>988</v>
      </c>
      <c r="J20" s="6" t="s">
        <v>67</v>
      </c>
      <c r="K20" s="9" t="s">
        <v>0</v>
      </c>
      <c r="L20" s="8">
        <v>1155</v>
      </c>
      <c r="M20" s="10">
        <v>2110</v>
      </c>
      <c r="N20" s="10">
        <f t="shared" si="2"/>
        <v>213340</v>
      </c>
    </row>
    <row r="21" spans="1:14" s="11" customFormat="1" ht="18" customHeight="1" x14ac:dyDescent="0.25">
      <c r="A21" s="10"/>
      <c r="B21" s="10"/>
      <c r="C21" s="6" t="s">
        <v>95</v>
      </c>
      <c r="D21" s="9" t="s">
        <v>1</v>
      </c>
      <c r="E21" s="8"/>
      <c r="F21" s="10">
        <v>6100</v>
      </c>
      <c r="G21" s="10">
        <f t="shared" si="1"/>
        <v>454130</v>
      </c>
      <c r="H21" s="10"/>
      <c r="I21" s="8">
        <v>989</v>
      </c>
      <c r="J21" s="6" t="s">
        <v>71</v>
      </c>
      <c r="K21" s="9" t="s">
        <v>0</v>
      </c>
      <c r="L21" s="8">
        <v>1162</v>
      </c>
      <c r="M21" s="10">
        <v>4450</v>
      </c>
      <c r="N21" s="10">
        <f t="shared" si="2"/>
        <v>215450</v>
      </c>
    </row>
    <row r="22" spans="1:14" s="11" customFormat="1" ht="18" customHeight="1" x14ac:dyDescent="0.25">
      <c r="A22" s="10"/>
      <c r="B22" s="10"/>
      <c r="C22" s="6" t="s">
        <v>147</v>
      </c>
      <c r="D22" s="9" t="s">
        <v>1</v>
      </c>
      <c r="E22" s="8"/>
      <c r="F22" s="10">
        <v>2590</v>
      </c>
      <c r="G22" s="10">
        <f t="shared" si="1"/>
        <v>460230</v>
      </c>
      <c r="H22" s="10"/>
      <c r="I22" s="8">
        <v>990</v>
      </c>
      <c r="J22" s="6" t="s">
        <v>245</v>
      </c>
      <c r="K22" s="9" t="s">
        <v>0</v>
      </c>
      <c r="L22" s="8">
        <v>1166</v>
      </c>
      <c r="M22" s="10">
        <v>1240</v>
      </c>
      <c r="N22" s="10">
        <f t="shared" si="2"/>
        <v>219900</v>
      </c>
    </row>
    <row r="23" spans="1:14" s="11" customFormat="1" ht="18" customHeight="1" x14ac:dyDescent="0.25">
      <c r="A23" s="10"/>
      <c r="B23" s="10"/>
      <c r="C23" s="6" t="s">
        <v>86</v>
      </c>
      <c r="D23" s="9" t="s">
        <v>1</v>
      </c>
      <c r="E23" s="8"/>
      <c r="F23" s="10">
        <v>1410</v>
      </c>
      <c r="G23" s="10">
        <f t="shared" si="1"/>
        <v>462820</v>
      </c>
      <c r="H23" s="10"/>
      <c r="I23" s="8">
        <v>991</v>
      </c>
      <c r="J23" s="6" t="s">
        <v>88</v>
      </c>
      <c r="K23" s="9" t="s">
        <v>0</v>
      </c>
      <c r="L23" s="8">
        <v>1165</v>
      </c>
      <c r="M23" s="10">
        <v>4720</v>
      </c>
      <c r="N23" s="10">
        <f t="shared" si="2"/>
        <v>221140</v>
      </c>
    </row>
    <row r="24" spans="1:14" s="11" customFormat="1" ht="18" customHeight="1" x14ac:dyDescent="0.25">
      <c r="A24" s="10"/>
      <c r="B24" s="10"/>
      <c r="C24" s="6" t="s">
        <v>67</v>
      </c>
      <c r="D24" s="9" t="s">
        <v>1</v>
      </c>
      <c r="E24" s="8"/>
      <c r="F24" s="10">
        <v>4170</v>
      </c>
      <c r="G24" s="10">
        <f t="shared" si="1"/>
        <v>464230</v>
      </c>
      <c r="H24" s="10"/>
      <c r="I24" s="8">
        <v>992</v>
      </c>
      <c r="J24" s="6" t="s">
        <v>146</v>
      </c>
      <c r="K24" s="9" t="s">
        <v>0</v>
      </c>
      <c r="L24" s="8">
        <v>1168</v>
      </c>
      <c r="M24" s="10">
        <v>3670</v>
      </c>
      <c r="N24" s="10">
        <f t="shared" si="2"/>
        <v>225860</v>
      </c>
    </row>
    <row r="25" spans="1:14" s="11" customFormat="1" ht="18" customHeight="1" x14ac:dyDescent="0.25">
      <c r="A25" s="10"/>
      <c r="B25" s="10"/>
      <c r="C25" s="6" t="s">
        <v>38</v>
      </c>
      <c r="D25" s="9" t="s">
        <v>1</v>
      </c>
      <c r="E25" s="8"/>
      <c r="F25" s="10">
        <v>4200</v>
      </c>
      <c r="G25" s="10">
        <f t="shared" si="1"/>
        <v>468400</v>
      </c>
      <c r="H25" s="10"/>
      <c r="I25" s="8">
        <v>993</v>
      </c>
      <c r="J25" s="6" t="s">
        <v>246</v>
      </c>
      <c r="K25" s="9" t="s">
        <v>0</v>
      </c>
      <c r="L25" s="8">
        <v>1169</v>
      </c>
      <c r="M25" s="10">
        <v>1020</v>
      </c>
      <c r="N25" s="10">
        <f t="shared" si="2"/>
        <v>229530</v>
      </c>
    </row>
    <row r="26" spans="1:14" s="11" customFormat="1" ht="18" customHeight="1" x14ac:dyDescent="0.25">
      <c r="A26" s="10"/>
      <c r="B26" s="10"/>
      <c r="C26" s="6" t="s">
        <v>144</v>
      </c>
      <c r="D26" s="9" t="s">
        <v>1</v>
      </c>
      <c r="E26" s="8"/>
      <c r="F26" s="10">
        <v>650</v>
      </c>
      <c r="G26" s="10">
        <f t="shared" si="1"/>
        <v>472600</v>
      </c>
      <c r="H26" s="10"/>
      <c r="I26" s="8">
        <v>994</v>
      </c>
      <c r="J26" s="6" t="s">
        <v>95</v>
      </c>
      <c r="K26" s="9" t="s">
        <v>0</v>
      </c>
      <c r="L26" s="8">
        <v>1157</v>
      </c>
      <c r="M26" s="10">
        <v>3600</v>
      </c>
      <c r="N26" s="10">
        <f t="shared" si="2"/>
        <v>230550</v>
      </c>
    </row>
    <row r="27" spans="1:14" s="11" customFormat="1" ht="18" customHeight="1" x14ac:dyDescent="0.25">
      <c r="A27" s="10"/>
      <c r="B27" s="10"/>
      <c r="C27" s="6" t="s">
        <v>71</v>
      </c>
      <c r="D27" s="9" t="s">
        <v>1</v>
      </c>
      <c r="E27" s="8"/>
      <c r="F27" s="10">
        <v>1900</v>
      </c>
      <c r="G27" s="10">
        <f t="shared" si="1"/>
        <v>473250</v>
      </c>
      <c r="H27" s="10"/>
      <c r="I27" s="8">
        <v>995</v>
      </c>
      <c r="J27" s="6" t="s">
        <v>247</v>
      </c>
      <c r="K27" s="9" t="s">
        <v>0</v>
      </c>
      <c r="L27" s="8">
        <v>1174</v>
      </c>
      <c r="M27" s="10">
        <v>2480</v>
      </c>
      <c r="N27" s="10">
        <f t="shared" si="2"/>
        <v>234150</v>
      </c>
    </row>
    <row r="28" spans="1:14" s="11" customFormat="1" ht="18" customHeight="1" x14ac:dyDescent="0.25">
      <c r="A28" s="10"/>
      <c r="B28" s="10"/>
      <c r="C28" s="6" t="s">
        <v>100</v>
      </c>
      <c r="D28" s="9" t="s">
        <v>1</v>
      </c>
      <c r="E28" s="8"/>
      <c r="F28" s="10">
        <v>2630</v>
      </c>
      <c r="G28" s="10">
        <f t="shared" si="1"/>
        <v>475150</v>
      </c>
      <c r="H28" s="10"/>
      <c r="I28" s="8">
        <v>996</v>
      </c>
      <c r="J28" s="6" t="s">
        <v>147</v>
      </c>
      <c r="K28" s="9" t="s">
        <v>0</v>
      </c>
      <c r="L28" s="8">
        <v>1156</v>
      </c>
      <c r="M28" s="10">
        <v>6120</v>
      </c>
      <c r="N28" s="10">
        <f t="shared" si="2"/>
        <v>236630</v>
      </c>
    </row>
    <row r="29" spans="1:14" s="11" customFormat="1" ht="18" customHeight="1" x14ac:dyDescent="0.25">
      <c r="A29" s="10"/>
      <c r="B29" s="10"/>
      <c r="C29" s="6" t="s">
        <v>52</v>
      </c>
      <c r="D29" s="9" t="s">
        <v>1</v>
      </c>
      <c r="E29" s="8"/>
      <c r="F29" s="10">
        <v>13140</v>
      </c>
      <c r="G29" s="10">
        <f t="shared" si="1"/>
        <v>477780</v>
      </c>
      <c r="H29" s="10"/>
      <c r="I29" s="8">
        <v>997</v>
      </c>
      <c r="J29" s="6" t="s">
        <v>69</v>
      </c>
      <c r="K29" s="9" t="s">
        <v>0</v>
      </c>
      <c r="L29" s="8">
        <v>1152</v>
      </c>
      <c r="M29" s="10">
        <v>2530</v>
      </c>
      <c r="N29" s="10">
        <f t="shared" si="2"/>
        <v>242750</v>
      </c>
    </row>
    <row r="30" spans="1:14" s="11" customFormat="1" ht="18" customHeight="1" x14ac:dyDescent="0.25">
      <c r="A30" s="10"/>
      <c r="B30" s="10"/>
      <c r="C30" s="10"/>
      <c r="D30" s="22" t="s">
        <v>1</v>
      </c>
      <c r="E30" s="8"/>
      <c r="F30" s="10"/>
      <c r="G30" s="10">
        <f t="shared" si="1"/>
        <v>490920</v>
      </c>
      <c r="H30" s="10"/>
      <c r="I30" s="8">
        <v>998</v>
      </c>
      <c r="J30" s="6" t="s">
        <v>225</v>
      </c>
      <c r="K30" s="9" t="s">
        <v>0</v>
      </c>
      <c r="L30" s="8">
        <v>1167</v>
      </c>
      <c r="M30" s="10">
        <v>14990</v>
      </c>
      <c r="N30" s="10">
        <f t="shared" si="2"/>
        <v>245280</v>
      </c>
    </row>
    <row r="31" spans="1:14" s="11" customFormat="1" ht="18" customHeight="1" x14ac:dyDescent="0.25">
      <c r="A31" s="10"/>
      <c r="B31" s="10"/>
      <c r="C31" s="32" t="s">
        <v>248</v>
      </c>
      <c r="D31" s="22" t="s">
        <v>1</v>
      </c>
      <c r="E31" s="8"/>
      <c r="F31" s="10"/>
      <c r="G31" s="23">
        <f t="shared" si="1"/>
        <v>490920</v>
      </c>
      <c r="H31" s="10"/>
      <c r="I31" s="8">
        <v>999</v>
      </c>
      <c r="J31" s="6" t="s">
        <v>144</v>
      </c>
      <c r="K31" s="9" t="s">
        <v>0</v>
      </c>
      <c r="L31" s="8">
        <v>1154</v>
      </c>
      <c r="M31" s="10">
        <v>3160</v>
      </c>
      <c r="N31" s="10">
        <f t="shared" si="2"/>
        <v>260270</v>
      </c>
    </row>
    <row r="32" spans="1:14" s="11" customFormat="1" ht="18" customHeight="1" x14ac:dyDescent="0.25">
      <c r="A32" s="10"/>
      <c r="B32" s="10"/>
      <c r="C32" s="32" t="s">
        <v>249</v>
      </c>
      <c r="D32" s="22" t="s">
        <v>1</v>
      </c>
      <c r="E32" s="8"/>
      <c r="F32" s="10"/>
      <c r="G32" s="23">
        <f t="shared" si="1"/>
        <v>490920</v>
      </c>
      <c r="H32" s="10"/>
      <c r="I32" s="8">
        <v>1000</v>
      </c>
      <c r="J32" s="6" t="s">
        <v>52</v>
      </c>
      <c r="K32" s="9" t="s">
        <v>0</v>
      </c>
      <c r="L32" s="8">
        <v>1051</v>
      </c>
      <c r="M32" s="10">
        <v>13140</v>
      </c>
      <c r="N32" s="10">
        <f t="shared" si="2"/>
        <v>263430</v>
      </c>
    </row>
    <row r="33" spans="1:14" s="11" customFormat="1" ht="18" customHeight="1" x14ac:dyDescent="0.25">
      <c r="A33" s="10"/>
      <c r="B33" s="10"/>
      <c r="C33" s="32" t="s">
        <v>250</v>
      </c>
      <c r="D33" s="22" t="s">
        <v>1</v>
      </c>
      <c r="E33" s="8"/>
      <c r="F33" s="10"/>
      <c r="G33" s="23">
        <f t="shared" si="1"/>
        <v>490920</v>
      </c>
      <c r="H33" s="10"/>
      <c r="I33" s="10"/>
      <c r="J33" s="32" t="s">
        <v>252</v>
      </c>
      <c r="K33" s="9"/>
      <c r="L33" s="8"/>
      <c r="M33" s="10"/>
      <c r="N33" s="10">
        <f t="shared" si="2"/>
        <v>276570</v>
      </c>
    </row>
    <row r="34" spans="1:14" s="11" customFormat="1" ht="18" customHeight="1" x14ac:dyDescent="0.25">
      <c r="A34" s="10"/>
      <c r="B34" s="10"/>
      <c r="C34" s="40" t="s">
        <v>251</v>
      </c>
      <c r="D34" s="22" t="s">
        <v>1</v>
      </c>
      <c r="E34" s="10"/>
      <c r="F34" s="10"/>
      <c r="G34" s="23">
        <f>G33+F33</f>
        <v>490920</v>
      </c>
      <c r="H34" s="10"/>
      <c r="I34" s="10"/>
      <c r="J34" s="46" t="s">
        <v>253</v>
      </c>
      <c r="K34" s="9"/>
      <c r="L34" s="10"/>
      <c r="M34" s="10"/>
      <c r="N34" s="23">
        <f t="shared" si="2"/>
        <v>276570</v>
      </c>
    </row>
    <row r="35" spans="1:14" s="11" customFormat="1" ht="18" customHeight="1" x14ac:dyDescent="0.25">
      <c r="A35" s="19"/>
      <c r="B35" s="19"/>
      <c r="C35" s="40"/>
      <c r="D35" s="9"/>
      <c r="E35" s="10"/>
      <c r="F35" s="10"/>
      <c r="G35" s="23">
        <f>G34+F34</f>
        <v>490920</v>
      </c>
      <c r="H35" s="19"/>
      <c r="I35" s="19"/>
      <c r="J35" s="47" t="s">
        <v>254</v>
      </c>
      <c r="K35" s="9"/>
      <c r="L35" s="10"/>
      <c r="M35" s="10"/>
      <c r="N35" s="23">
        <f t="shared" si="2"/>
        <v>276570</v>
      </c>
    </row>
    <row r="36" spans="1:14" ht="31.5" customHeight="1" x14ac:dyDescent="0.25">
      <c r="A36" s="60" t="s">
        <v>9</v>
      </c>
      <c r="B36" s="60"/>
      <c r="C36" s="61"/>
      <c r="D36" s="66">
        <f>G34+F34</f>
        <v>490920</v>
      </c>
      <c r="E36" s="66"/>
      <c r="F36" s="66"/>
      <c r="G36" s="66"/>
      <c r="H36" s="54" t="s">
        <v>10</v>
      </c>
      <c r="I36" s="54"/>
      <c r="J36" s="55"/>
      <c r="K36" s="66">
        <f>N34+M34</f>
        <v>276570</v>
      </c>
      <c r="L36" s="66"/>
      <c r="M36" s="66"/>
      <c r="N36" s="66"/>
    </row>
    <row r="37" spans="1:14" ht="30.75" customHeight="1" x14ac:dyDescent="0.25">
      <c r="A37" s="54" t="s">
        <v>10</v>
      </c>
      <c r="B37" s="54"/>
      <c r="C37" s="55"/>
      <c r="D37" s="67">
        <f>K36</f>
        <v>276570</v>
      </c>
      <c r="E37" s="67"/>
      <c r="F37" s="67"/>
      <c r="G37" s="67"/>
      <c r="H37" s="52"/>
      <c r="I37" s="52"/>
      <c r="J37" s="13"/>
      <c r="K37" s="53"/>
      <c r="L37" s="53"/>
      <c r="M37" s="53"/>
      <c r="N37" s="14"/>
    </row>
    <row r="38" spans="1:14" ht="36.75" customHeight="1" x14ac:dyDescent="0.25">
      <c r="A38" s="62" t="s">
        <v>11</v>
      </c>
      <c r="B38" s="62"/>
      <c r="C38" s="63"/>
      <c r="D38" s="71">
        <f>D36-D37</f>
        <v>214350</v>
      </c>
      <c r="E38" s="71"/>
      <c r="F38" s="71"/>
      <c r="G38" s="71"/>
      <c r="H38" s="52"/>
      <c r="I38" s="52"/>
      <c r="J38" s="13"/>
      <c r="K38" s="51"/>
      <c r="L38" s="51"/>
      <c r="M38" s="51"/>
      <c r="N38" s="15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8:C38"/>
    <mergeCell ref="D38:G38"/>
    <mergeCell ref="H38:I38"/>
    <mergeCell ref="K38:M38"/>
    <mergeCell ref="A4:E4"/>
    <mergeCell ref="A36:C36"/>
    <mergeCell ref="D36:G36"/>
    <mergeCell ref="H36:J36"/>
    <mergeCell ref="K36:N36"/>
    <mergeCell ref="A37:C37"/>
    <mergeCell ref="D37:G37"/>
    <mergeCell ref="H37:I37"/>
    <mergeCell ref="K37:M37"/>
  </mergeCells>
  <pageMargins left="0.33088235294117646" right="0" top="0.25" bottom="0" header="0.05" footer="0.05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(12)'!D38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(13)'!D37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(14)'!D37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(15)'!D37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(16)'!D37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(17)'!D37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(18)'!D37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(19)'!D37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(20)'!D37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(21)'!D37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(22)'!D37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(23)'!D37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(24)'!D37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(25)'!D37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(26)'!D37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(27)'!D37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(28)'!D37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A3" sqref="A3:XFD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(29)'!D37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F17" sqref="F17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64" t="s">
        <v>6</v>
      </c>
      <c r="B1" s="64"/>
      <c r="C1" s="64"/>
      <c r="D1" s="64"/>
      <c r="E1" s="64"/>
      <c r="F1" s="64"/>
      <c r="G1" s="64"/>
      <c r="H1" s="64" t="s">
        <v>6</v>
      </c>
      <c r="I1" s="64"/>
      <c r="J1" s="64"/>
      <c r="K1" s="64"/>
      <c r="L1" s="64"/>
      <c r="M1" s="64"/>
      <c r="N1" s="64"/>
    </row>
    <row r="2" spans="1:14" ht="21" customHeight="1" x14ac:dyDescent="0.25">
      <c r="A2" s="65" t="s">
        <v>7</v>
      </c>
      <c r="B2" s="65"/>
      <c r="C2" s="65"/>
      <c r="D2" s="65"/>
      <c r="E2" s="65"/>
      <c r="F2" s="65"/>
      <c r="G2" s="65"/>
      <c r="H2" s="65" t="s">
        <v>7</v>
      </c>
      <c r="I2" s="65"/>
      <c r="J2" s="65"/>
      <c r="K2" s="65"/>
      <c r="L2" s="65"/>
      <c r="M2" s="65"/>
      <c r="N2" s="65"/>
    </row>
    <row r="3" spans="1:14" ht="25.5" customHeight="1" x14ac:dyDescent="0.25">
      <c r="A3" s="69" t="s">
        <v>8</v>
      </c>
      <c r="B3" s="69"/>
      <c r="C3" s="18"/>
      <c r="D3" s="70" t="s">
        <v>4</v>
      </c>
      <c r="E3" s="70"/>
      <c r="F3" s="17" t="s">
        <v>3</v>
      </c>
      <c r="G3" s="3"/>
      <c r="H3" s="69" t="s">
        <v>8</v>
      </c>
      <c r="I3" s="69"/>
      <c r="J3" s="18"/>
      <c r="K3" s="56" t="s">
        <v>5</v>
      </c>
      <c r="L3" s="56"/>
      <c r="M3" s="17" t="s">
        <v>3</v>
      </c>
      <c r="N3" s="3"/>
    </row>
    <row r="4" spans="1:14" s="11" customFormat="1" ht="21" customHeight="1" x14ac:dyDescent="0.25">
      <c r="A4" s="68" t="s">
        <v>12</v>
      </c>
      <c r="B4" s="68"/>
      <c r="C4" s="68"/>
      <c r="D4" s="68"/>
      <c r="E4" s="68"/>
      <c r="F4" s="12">
        <f>'OCT (30)'!D37</f>
        <v>214350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214350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214350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214350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214350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214350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214350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214350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214350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214350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214350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214350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214350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214350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214350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214350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214350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214350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214350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214350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214350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214350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214350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214350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214350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214350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214350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214350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214350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214350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214350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60" t="s">
        <v>9</v>
      </c>
      <c r="B35" s="60"/>
      <c r="C35" s="61"/>
      <c r="D35" s="66">
        <f>G34+F34</f>
        <v>214350</v>
      </c>
      <c r="E35" s="66"/>
      <c r="F35" s="66"/>
      <c r="G35" s="66"/>
      <c r="H35" s="54" t="s">
        <v>10</v>
      </c>
      <c r="I35" s="54"/>
      <c r="J35" s="55"/>
      <c r="K35" s="66">
        <f>N34+M34</f>
        <v>0</v>
      </c>
      <c r="L35" s="66"/>
      <c r="M35" s="66"/>
      <c r="N35" s="66"/>
    </row>
    <row r="36" spans="1:14" ht="30.75" customHeight="1" x14ac:dyDescent="0.25">
      <c r="A36" s="54" t="s">
        <v>10</v>
      </c>
      <c r="B36" s="54"/>
      <c r="C36" s="55"/>
      <c r="D36" s="67">
        <f>K35</f>
        <v>0</v>
      </c>
      <c r="E36" s="67"/>
      <c r="F36" s="67"/>
      <c r="G36" s="67"/>
      <c r="H36" s="52"/>
      <c r="I36" s="52"/>
      <c r="J36" s="13"/>
      <c r="K36" s="53"/>
      <c r="L36" s="53"/>
      <c r="M36" s="53"/>
      <c r="N36" s="14"/>
    </row>
    <row r="37" spans="1:14" ht="36.75" customHeight="1" x14ac:dyDescent="0.25">
      <c r="A37" s="62" t="s">
        <v>11</v>
      </c>
      <c r="B37" s="62"/>
      <c r="C37" s="63"/>
      <c r="D37" s="71">
        <f>D35-D36</f>
        <v>214350</v>
      </c>
      <c r="E37" s="71"/>
      <c r="F37" s="71"/>
      <c r="G37" s="71"/>
      <c r="H37" s="52"/>
      <c r="I37" s="52"/>
      <c r="J37" s="13"/>
      <c r="K37" s="51"/>
      <c r="L37" s="51"/>
      <c r="M37" s="51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1:G1"/>
    <mergeCell ref="H1:N1"/>
    <mergeCell ref="A2:G2"/>
    <mergeCell ref="H2:N2"/>
    <mergeCell ref="A3:B3"/>
    <mergeCell ref="D3:E3"/>
    <mergeCell ref="H3:I3"/>
    <mergeCell ref="K3:L3"/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</mergeCells>
  <pageMargins left="0.33088235294117646" right="0" top="0.25" bottom="0" header="0.05" footer="0.0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OCT (01)</vt:lpstr>
      <vt:lpstr>OCT (2)</vt:lpstr>
      <vt:lpstr>OCT (3)</vt:lpstr>
      <vt:lpstr>OCT (4)</vt:lpstr>
      <vt:lpstr>OCT (5)</vt:lpstr>
      <vt:lpstr>OCT (6)</vt:lpstr>
      <vt:lpstr>OCT (7)</vt:lpstr>
      <vt:lpstr>OCT (8)</vt:lpstr>
      <vt:lpstr>OCT (9)</vt:lpstr>
      <vt:lpstr>OCT (10)</vt:lpstr>
      <vt:lpstr>OCT (11)</vt:lpstr>
      <vt:lpstr>OCT (12)</vt:lpstr>
      <vt:lpstr>OCT (13)</vt:lpstr>
      <vt:lpstr>OCT (14)</vt:lpstr>
      <vt:lpstr>OCT (15)</vt:lpstr>
      <vt:lpstr>OCT (16)</vt:lpstr>
      <vt:lpstr>OCT (17)</vt:lpstr>
      <vt:lpstr>OCT (18)</vt:lpstr>
      <vt:lpstr>OCT (19)</vt:lpstr>
      <vt:lpstr>OCT (20)</vt:lpstr>
      <vt:lpstr>OCT (21)</vt:lpstr>
      <vt:lpstr>OCT (22)</vt:lpstr>
      <vt:lpstr>OCT (23)</vt:lpstr>
      <vt:lpstr>OCT (24)</vt:lpstr>
      <vt:lpstr>OCT (25)</vt:lpstr>
      <vt:lpstr>OCT (26)</vt:lpstr>
      <vt:lpstr>OCT (27)</vt:lpstr>
      <vt:lpstr>OCT (28)</vt:lpstr>
      <vt:lpstr>OCT (29)</vt:lpstr>
      <vt:lpstr>OCT (30)</vt:lpstr>
      <vt:lpstr>OCT (31)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</dc:creator>
  <cp:lastModifiedBy>USER</cp:lastModifiedBy>
  <cp:lastPrinted>2024-11-12T10:11:59Z</cp:lastPrinted>
  <dcterms:created xsi:type="dcterms:W3CDTF">2021-02-09T04:13:43Z</dcterms:created>
  <dcterms:modified xsi:type="dcterms:W3CDTF">2024-11-12T10:12:52Z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2024-08-01T06:42:21Z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34d53fb7-3064-4da3-9c9f-222769f1edaf</vt:lpwstr>
  </property>
  <property fmtid="{D5CDD505-2E9C-101B-9397-08002B2CF9AE}" pid="7" name="MSIP_Label_defa4170-0d19-0005-0004-bc88714345d2_ActionId">
    <vt:lpwstr>3fefb21b-e473-4607-af76-0fb7cbe228ad</vt:lpwstr>
  </property>
  <property fmtid="{D5CDD505-2E9C-101B-9397-08002B2CF9AE}" pid="8" name="MSIP_Label_defa4170-0d19-0005-0004-bc88714345d2_ContentBits">
    <vt:lpwstr>0</vt:lpwstr>
  </property>
</Properties>
</file>